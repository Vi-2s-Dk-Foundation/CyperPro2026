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theme/theme1.xml" ContentType="application/vnd.openxmlformats-officedocument.theme+xml"/>
  <Override PartName="/xl/pivotTables/pivotTable1.xml" ContentType="application/vnd.openxmlformats-officedocument.spreadsheetml.pivotTable+xml"/>
  <Override PartName="/xl/pivotTables/_rels/pivotTable1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_rels/drawing1.xml.rels" ContentType="application/vnd.openxmlformats-package.relationships+xml"/>
  <Override PartName="/xl/drawings/_rels/drawing4.xml.rels" ContentType="application/vnd.openxmlformats-package.relationships+xml"/>
  <Override PartName="/xl/drawings/_rels/drawing5.xml.rels" ContentType="application/vnd.openxmlformats-package.relationship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firewall_logs" sheetId="1" state="visible" r:id="rId3"/>
    <sheet name="Pivot Table_firewall_logs_1" sheetId="2" state="visible" r:id="rId4"/>
    <sheet name="vulnerability_scan" sheetId="3" state="visible" r:id="rId5"/>
    <sheet name="threat_intelligence" sheetId="4" state="visible" r:id="rId6"/>
    <sheet name="Cybersecurity_Dashboard" sheetId="5" state="visible" r:id="rId7"/>
    <sheet name="Sheet6" sheetId="6" state="hidden" r:id="rId8"/>
  </sheets>
  <definedNames>
    <definedName function="false" hidden="true" localSheetId="3" name="_xlnm._FilterDatabase" vbProcedure="false">threat_intelligence!$A$1:$B$201</definedName>
    <definedName function="false" hidden="true" localSheetId="2" name="_xlnm._FilterDatabase" vbProcedure="false">vulnerability_scan!$A$1:$E$301</definedName>
  </definedNames>
  <calcPr iterateCount="100" refMode="A1" iterate="false" iterateDelta="0.001"/>
  <pivotCaches>
    <pivotCache cacheId="1" r:id="rId10"/>
  </pivotCaches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<sst xmlns="http://schemas.openxmlformats.org/spreadsheetml/2006/main" count="4162" uniqueCount="2644">
  <si>
    <t xml:space="preserve">Timestamp</t>
  </si>
  <si>
    <t xml:space="preserve">Source IP</t>
  </si>
  <si>
    <t xml:space="preserve">Destination IP</t>
  </si>
  <si>
    <t xml:space="preserve">Port</t>
  </si>
  <si>
    <t xml:space="preserve">Protocol</t>
  </si>
  <si>
    <t xml:space="preserve">Action</t>
  </si>
  <si>
    <t xml:space="preserve">Date</t>
  </si>
  <si>
    <t xml:space="preserve">Time</t>
  </si>
  <si>
    <t xml:space="preserve">Threat Match</t>
  </si>
  <si>
    <t xml:space="preserve">47.115.158.4</t>
  </si>
  <si>
    <t xml:space="preserve">133.85.75.26</t>
  </si>
  <si>
    <t xml:space="preserve">37288</t>
  </si>
  <si>
    <t xml:space="preserve">TCP</t>
  </si>
  <si>
    <t xml:space="preserve">Blocked</t>
  </si>
  <si>
    <t xml:space="preserve">91.117.72.15</t>
  </si>
  <si>
    <t xml:space="preserve">123.115.171.59</t>
  </si>
  <si>
    <t xml:space="preserve">22324</t>
  </si>
  <si>
    <t xml:space="preserve">UDP</t>
  </si>
  <si>
    <t xml:space="preserve">1.63.10.148</t>
  </si>
  <si>
    <t xml:space="preserve">28.149.80.100</t>
  </si>
  <si>
    <t xml:space="preserve">35893</t>
  </si>
  <si>
    <t xml:space="preserve">ICMP</t>
  </si>
  <si>
    <t xml:space="preserve">188.20.226.186</t>
  </si>
  <si>
    <t xml:space="preserve">104.220.172.94</t>
  </si>
  <si>
    <t xml:space="preserve">11218</t>
  </si>
  <si>
    <t xml:space="preserve">Allowed</t>
  </si>
  <si>
    <t xml:space="preserve">33.238.139.126</t>
  </si>
  <si>
    <t xml:space="preserve">209.58.28.19</t>
  </si>
  <si>
    <t xml:space="preserve">56373</t>
  </si>
  <si>
    <t xml:space="preserve">188.58.232.131</t>
  </si>
  <si>
    <t xml:space="preserve">186.195.199.86</t>
  </si>
  <si>
    <t xml:space="preserve">65367</t>
  </si>
  <si>
    <t xml:space="preserve">186.39.241.206</t>
  </si>
  <si>
    <t xml:space="preserve">141.82.39.224</t>
  </si>
  <si>
    <t xml:space="preserve">24298</t>
  </si>
  <si>
    <t xml:space="preserve">142.9.234.6</t>
  </si>
  <si>
    <t xml:space="preserve">99.166.170.128</t>
  </si>
  <si>
    <t xml:space="preserve">33407</t>
  </si>
  <si>
    <t xml:space="preserve">201.149.158.14</t>
  </si>
  <si>
    <t xml:space="preserve">186.140.29.43</t>
  </si>
  <si>
    <t xml:space="preserve">21041</t>
  </si>
  <si>
    <t xml:space="preserve">112.248.70.44</t>
  </si>
  <si>
    <t xml:space="preserve">200.84.51.240</t>
  </si>
  <si>
    <t xml:space="preserve">54724</t>
  </si>
  <si>
    <t xml:space="preserve">210.185.114.161</t>
  </si>
  <si>
    <t xml:space="preserve">183.159.130.24</t>
  </si>
  <si>
    <t xml:space="preserve">26551</t>
  </si>
  <si>
    <t xml:space="preserve">75.95.167.231</t>
  </si>
  <si>
    <t xml:space="preserve">176.106.55.147</t>
  </si>
  <si>
    <t xml:space="preserve">40132</t>
  </si>
  <si>
    <t xml:space="preserve">174.50.149.122</t>
  </si>
  <si>
    <t xml:space="preserve">162.237.64.227</t>
  </si>
  <si>
    <t xml:space="preserve">2239</t>
  </si>
  <si>
    <t xml:space="preserve">101.93.46.70</t>
  </si>
  <si>
    <t xml:space="preserve">206.196.63.183</t>
  </si>
  <si>
    <t xml:space="preserve">10237</t>
  </si>
  <si>
    <t xml:space="preserve">201.85.170.184</t>
  </si>
  <si>
    <t xml:space="preserve">147.93.227.152</t>
  </si>
  <si>
    <t xml:space="preserve">56023</t>
  </si>
  <si>
    <t xml:space="preserve">2.136.170.245</t>
  </si>
  <si>
    <t xml:space="preserve">137.209.228.80</t>
  </si>
  <si>
    <t xml:space="preserve">25679</t>
  </si>
  <si>
    <t xml:space="preserve">14.85.212.156</t>
  </si>
  <si>
    <t xml:space="preserve">107.69.220.189</t>
  </si>
  <si>
    <t xml:space="preserve">43642</t>
  </si>
  <si>
    <t xml:space="preserve">192.209.78.30</t>
  </si>
  <si>
    <t xml:space="preserve">61.9.75.54</t>
  </si>
  <si>
    <t xml:space="preserve">58841</t>
  </si>
  <si>
    <t xml:space="preserve">144.233.157.89</t>
  </si>
  <si>
    <t xml:space="preserve">80.241.58.78</t>
  </si>
  <si>
    <t xml:space="preserve">34304</t>
  </si>
  <si>
    <t xml:space="preserve">192.192.227.69</t>
  </si>
  <si>
    <t xml:space="preserve">202.161.66.88</t>
  </si>
  <si>
    <t xml:space="preserve">43605</t>
  </si>
  <si>
    <t xml:space="preserve">202.48.119.84</t>
  </si>
  <si>
    <t xml:space="preserve">207.207.135.192</t>
  </si>
  <si>
    <t xml:space="preserve">34086</t>
  </si>
  <si>
    <t xml:space="preserve">120.10.236.177</t>
  </si>
  <si>
    <t xml:space="preserve">201.146.46.28</t>
  </si>
  <si>
    <t xml:space="preserve">23392</t>
  </si>
  <si>
    <t xml:space="preserve">168.216.188.76</t>
  </si>
  <si>
    <t xml:space="preserve">185.221.23.208</t>
  </si>
  <si>
    <t xml:space="preserve">31383</t>
  </si>
  <si>
    <t xml:space="preserve">208.41.239.74</t>
  </si>
  <si>
    <t xml:space="preserve">193.46.130.120</t>
  </si>
  <si>
    <t xml:space="preserve">14016</t>
  </si>
  <si>
    <t xml:space="preserve">149.105.216.106</t>
  </si>
  <si>
    <t xml:space="preserve">146.247.239.174</t>
  </si>
  <si>
    <t xml:space="preserve">25774</t>
  </si>
  <si>
    <t xml:space="preserve">141.226.72.247</t>
  </si>
  <si>
    <t xml:space="preserve">135.180.45.181</t>
  </si>
  <si>
    <t xml:space="preserve">47269</t>
  </si>
  <si>
    <t xml:space="preserve">166.179.215.75</t>
  </si>
  <si>
    <t xml:space="preserve">56.53.194.135</t>
  </si>
  <si>
    <t xml:space="preserve">24787</t>
  </si>
  <si>
    <t xml:space="preserve">31.17.67.226</t>
  </si>
  <si>
    <t xml:space="preserve">194.191.216.39</t>
  </si>
  <si>
    <t xml:space="preserve">5871</t>
  </si>
  <si>
    <t xml:space="preserve">188.42.74.174</t>
  </si>
  <si>
    <t xml:space="preserve">66.200.180.12</t>
  </si>
  <si>
    <t xml:space="preserve">45797</t>
  </si>
  <si>
    <t xml:space="preserve">194.62.246.177</t>
  </si>
  <si>
    <t xml:space="preserve">61.178.36.221</t>
  </si>
  <si>
    <t xml:space="preserve">38005</t>
  </si>
  <si>
    <t xml:space="preserve">170.216.24.233</t>
  </si>
  <si>
    <t xml:space="preserve">22.154.144.227</t>
  </si>
  <si>
    <t xml:space="preserve">21448</t>
  </si>
  <si>
    <t xml:space="preserve">179.155.123.137</t>
  </si>
  <si>
    <t xml:space="preserve">223.58.93.136</t>
  </si>
  <si>
    <t xml:space="preserve">24926</t>
  </si>
  <si>
    <t xml:space="preserve">215.246.62.201</t>
  </si>
  <si>
    <t xml:space="preserve">211.195.23.149</t>
  </si>
  <si>
    <t xml:space="preserve">53570</t>
  </si>
  <si>
    <t xml:space="preserve">210.213.100.141</t>
  </si>
  <si>
    <t xml:space="preserve">216.186.247.177</t>
  </si>
  <si>
    <t xml:space="preserve">22252</t>
  </si>
  <si>
    <t xml:space="preserve">74.150.126.51</t>
  </si>
  <si>
    <t xml:space="preserve">214.134.251.92</t>
  </si>
  <si>
    <t xml:space="preserve">26615</t>
  </si>
  <si>
    <t xml:space="preserve">216.15.17.121</t>
  </si>
  <si>
    <t xml:space="preserve">190.82.159.62</t>
  </si>
  <si>
    <t xml:space="preserve">29155</t>
  </si>
  <si>
    <t xml:space="preserve">203.68.27.11</t>
  </si>
  <si>
    <t xml:space="preserve">169.191.230.166</t>
  </si>
  <si>
    <t xml:space="preserve">51005</t>
  </si>
  <si>
    <t xml:space="preserve">36.191.52.102</t>
  </si>
  <si>
    <t xml:space="preserve">173.103.70.89</t>
  </si>
  <si>
    <t xml:space="preserve">49684</t>
  </si>
  <si>
    <t xml:space="preserve">128.111.21.230</t>
  </si>
  <si>
    <t xml:space="preserve">83.78.37.255</t>
  </si>
  <si>
    <t xml:space="preserve">44056</t>
  </si>
  <si>
    <t xml:space="preserve">216.95.39.201</t>
  </si>
  <si>
    <t xml:space="preserve">217.30.131.129</t>
  </si>
  <si>
    <t xml:space="preserve">30429</t>
  </si>
  <si>
    <t xml:space="preserve">218.254.127.206</t>
  </si>
  <si>
    <t xml:space="preserve">223.44.2.58</t>
  </si>
  <si>
    <t xml:space="preserve">6271</t>
  </si>
  <si>
    <t xml:space="preserve">32.118.64.109</t>
  </si>
  <si>
    <t xml:space="preserve">162.251.37.238</t>
  </si>
  <si>
    <t xml:space="preserve">48693</t>
  </si>
  <si>
    <t xml:space="preserve">154.139.25.137</t>
  </si>
  <si>
    <t xml:space="preserve">218.96.178.17</t>
  </si>
  <si>
    <t xml:space="preserve">58382</t>
  </si>
  <si>
    <t xml:space="preserve">140.206.154.137</t>
  </si>
  <si>
    <t xml:space="preserve">201.152.109.83</t>
  </si>
  <si>
    <t xml:space="preserve">5181</t>
  </si>
  <si>
    <t xml:space="preserve">134.140.2.88</t>
  </si>
  <si>
    <t xml:space="preserve">190.196.119.246</t>
  </si>
  <si>
    <t xml:space="preserve">51539</t>
  </si>
  <si>
    <t xml:space="preserve">209.243.136.55</t>
  </si>
  <si>
    <t xml:space="preserve">2.176.218.71</t>
  </si>
  <si>
    <t xml:space="preserve">48644</t>
  </si>
  <si>
    <t xml:space="preserve">199.18.18.226</t>
  </si>
  <si>
    <t xml:space="preserve">195.182.143.37</t>
  </si>
  <si>
    <t xml:space="preserve">56295</t>
  </si>
  <si>
    <t xml:space="preserve">55.169.77.125</t>
  </si>
  <si>
    <t xml:space="preserve">214.188.175.121</t>
  </si>
  <si>
    <t xml:space="preserve">18415</t>
  </si>
  <si>
    <t xml:space="preserve">207.130.44.68</t>
  </si>
  <si>
    <t xml:space="preserve">219.129.222.91</t>
  </si>
  <si>
    <t xml:space="preserve">64654</t>
  </si>
  <si>
    <t xml:space="preserve">53.164.13.68</t>
  </si>
  <si>
    <t xml:space="preserve">208.212.189.68</t>
  </si>
  <si>
    <t xml:space="preserve">19326</t>
  </si>
  <si>
    <t xml:space="preserve">44.240.62.75</t>
  </si>
  <si>
    <t xml:space="preserve">102.255.217.218</t>
  </si>
  <si>
    <t xml:space="preserve">1064</t>
  </si>
  <si>
    <t xml:space="preserve">196.165.67.25</t>
  </si>
  <si>
    <t xml:space="preserve">130.2.71.169</t>
  </si>
  <si>
    <t xml:space="preserve">42322</t>
  </si>
  <si>
    <t xml:space="preserve">212.18.155.97</t>
  </si>
  <si>
    <t xml:space="preserve">163.47.217.219</t>
  </si>
  <si>
    <t xml:space="preserve">57899</t>
  </si>
  <si>
    <t xml:space="preserve">44.97.239.133</t>
  </si>
  <si>
    <t xml:space="preserve">93.199.138.13</t>
  </si>
  <si>
    <t xml:space="preserve">57676</t>
  </si>
  <si>
    <t xml:space="preserve">193.59.220.90</t>
  </si>
  <si>
    <t xml:space="preserve">194.142.95.137</t>
  </si>
  <si>
    <t xml:space="preserve">51120</t>
  </si>
  <si>
    <t xml:space="preserve">40.87.21.252</t>
  </si>
  <si>
    <t xml:space="preserve">115.250.80.124</t>
  </si>
  <si>
    <t xml:space="preserve">58226</t>
  </si>
  <si>
    <t xml:space="preserve">133.85.237.167</t>
  </si>
  <si>
    <t xml:space="preserve">152.196.160.20</t>
  </si>
  <si>
    <t xml:space="preserve">5130</t>
  </si>
  <si>
    <t xml:space="preserve">13.123.242.240</t>
  </si>
  <si>
    <t xml:space="preserve">183.81.108.5</t>
  </si>
  <si>
    <t xml:space="preserve">59820</t>
  </si>
  <si>
    <t xml:space="preserve">128.91.215.23</t>
  </si>
  <si>
    <t xml:space="preserve">7.114.60.212</t>
  </si>
  <si>
    <t xml:space="preserve">13526</t>
  </si>
  <si>
    <t xml:space="preserve">198.11.241.40</t>
  </si>
  <si>
    <t xml:space="preserve">166.243.137.23</t>
  </si>
  <si>
    <t xml:space="preserve">49619</t>
  </si>
  <si>
    <t xml:space="preserve">128.136.137.216</t>
  </si>
  <si>
    <t xml:space="preserve">135.140.188.210</t>
  </si>
  <si>
    <t xml:space="preserve">37951</t>
  </si>
  <si>
    <t xml:space="preserve">208.206.233.119</t>
  </si>
  <si>
    <t xml:space="preserve">204.127.245.220</t>
  </si>
  <si>
    <t xml:space="preserve">33546</t>
  </si>
  <si>
    <t xml:space="preserve">204.200.145.247</t>
  </si>
  <si>
    <t xml:space="preserve">161.236.218.190</t>
  </si>
  <si>
    <t xml:space="preserve">8405</t>
  </si>
  <si>
    <t xml:space="preserve">192.57.197.44</t>
  </si>
  <si>
    <t xml:space="preserve">144.226.3.103</t>
  </si>
  <si>
    <t xml:space="preserve">2248</t>
  </si>
  <si>
    <t xml:space="preserve">56.110.75.151</t>
  </si>
  <si>
    <t xml:space="preserve">2.128.130.85</t>
  </si>
  <si>
    <t xml:space="preserve">3760</t>
  </si>
  <si>
    <t xml:space="preserve">202.5.170.165</t>
  </si>
  <si>
    <t xml:space="preserve">79.160.29.44</t>
  </si>
  <si>
    <t xml:space="preserve">19021</t>
  </si>
  <si>
    <t xml:space="preserve">203.60.25.250</t>
  </si>
  <si>
    <t xml:space="preserve">213.138.208.254</t>
  </si>
  <si>
    <t xml:space="preserve">20513</t>
  </si>
  <si>
    <t xml:space="preserve">152.122.252.135</t>
  </si>
  <si>
    <t xml:space="preserve">181.195.174.12</t>
  </si>
  <si>
    <t xml:space="preserve">20024</t>
  </si>
  <si>
    <t xml:space="preserve">25.193.87.142</t>
  </si>
  <si>
    <t xml:space="preserve">90.149.220.39</t>
  </si>
  <si>
    <t xml:space="preserve">17716</t>
  </si>
  <si>
    <t xml:space="preserve">201.51.177.68</t>
  </si>
  <si>
    <t xml:space="preserve">221.145.90.64</t>
  </si>
  <si>
    <t xml:space="preserve">254</t>
  </si>
  <si>
    <t xml:space="preserve">218.136.238.11</t>
  </si>
  <si>
    <t xml:space="preserve">176.187.9.201</t>
  </si>
  <si>
    <t xml:space="preserve">61960</t>
  </si>
  <si>
    <t xml:space="preserve">202.105.236.180</t>
  </si>
  <si>
    <t xml:space="preserve">97.111.20.245</t>
  </si>
  <si>
    <t xml:space="preserve">2662</t>
  </si>
  <si>
    <t xml:space="preserve">13.165.34.170</t>
  </si>
  <si>
    <t xml:space="preserve">104.56.26.97</t>
  </si>
  <si>
    <t xml:space="preserve">11683</t>
  </si>
  <si>
    <t xml:space="preserve">188.172.221.48</t>
  </si>
  <si>
    <t xml:space="preserve">164.62.157.135</t>
  </si>
  <si>
    <t xml:space="preserve">60043</t>
  </si>
  <si>
    <t xml:space="preserve">60.30.66.212</t>
  </si>
  <si>
    <t xml:space="preserve">26.112.160.122</t>
  </si>
  <si>
    <t xml:space="preserve">39671</t>
  </si>
  <si>
    <t xml:space="preserve">29.104.26.128</t>
  </si>
  <si>
    <t xml:space="preserve">75.113.171.224</t>
  </si>
  <si>
    <t xml:space="preserve">57123</t>
  </si>
  <si>
    <t xml:space="preserve">217.23.143.247</t>
  </si>
  <si>
    <t xml:space="preserve">201.78.50.74</t>
  </si>
  <si>
    <t xml:space="preserve">61723</t>
  </si>
  <si>
    <t xml:space="preserve">212.103.89.89</t>
  </si>
  <si>
    <t xml:space="preserve">188.248.41.200</t>
  </si>
  <si>
    <t xml:space="preserve">50514</t>
  </si>
  <si>
    <t xml:space="preserve">164.116.153.211</t>
  </si>
  <si>
    <t xml:space="preserve">26.80.211.107</t>
  </si>
  <si>
    <t xml:space="preserve">41502</t>
  </si>
  <si>
    <t xml:space="preserve">91.6.185.161</t>
  </si>
  <si>
    <t xml:space="preserve">132.228.238.214</t>
  </si>
  <si>
    <t xml:space="preserve">32108</t>
  </si>
  <si>
    <t xml:space="preserve">32.79.29.225</t>
  </si>
  <si>
    <t xml:space="preserve">46.2.247.107</t>
  </si>
  <si>
    <t xml:space="preserve">59849</t>
  </si>
  <si>
    <t xml:space="preserve">198.119.56.60</t>
  </si>
  <si>
    <t xml:space="preserve">222.10.109.190</t>
  </si>
  <si>
    <t xml:space="preserve">10555</t>
  </si>
  <si>
    <t xml:space="preserve">222.233.50.76</t>
  </si>
  <si>
    <t xml:space="preserve">44.124.246.82</t>
  </si>
  <si>
    <t xml:space="preserve">55451</t>
  </si>
  <si>
    <t xml:space="preserve">99.72.223.82</t>
  </si>
  <si>
    <t xml:space="preserve">56.92.184.16</t>
  </si>
  <si>
    <t xml:space="preserve">43339</t>
  </si>
  <si>
    <t xml:space="preserve">220.2.230.66</t>
  </si>
  <si>
    <t xml:space="preserve">142.96.10.144</t>
  </si>
  <si>
    <t xml:space="preserve">29022</t>
  </si>
  <si>
    <t xml:space="preserve">132.147.212.98</t>
  </si>
  <si>
    <t xml:space="preserve">16.198.162.197</t>
  </si>
  <si>
    <t xml:space="preserve">36836</t>
  </si>
  <si>
    <t xml:space="preserve">177.49.35.51</t>
  </si>
  <si>
    <t xml:space="preserve">210.205.16.28</t>
  </si>
  <si>
    <t xml:space="preserve">39736</t>
  </si>
  <si>
    <t xml:space="preserve">97.101.244.199</t>
  </si>
  <si>
    <t xml:space="preserve">199.64.32.13</t>
  </si>
  <si>
    <t xml:space="preserve">6049</t>
  </si>
  <si>
    <t xml:space="preserve">171.80.243.160</t>
  </si>
  <si>
    <t xml:space="preserve">3.4.202.93</t>
  </si>
  <si>
    <t xml:space="preserve">48298</t>
  </si>
  <si>
    <t xml:space="preserve">97.128.123.163</t>
  </si>
  <si>
    <t xml:space="preserve">217.15.131.234</t>
  </si>
  <si>
    <t xml:space="preserve">14926</t>
  </si>
  <si>
    <t xml:space="preserve">67.97.139.14</t>
  </si>
  <si>
    <t xml:space="preserve">110.206.135.57</t>
  </si>
  <si>
    <t xml:space="preserve">48833</t>
  </si>
  <si>
    <t xml:space="preserve">143.15.110.60</t>
  </si>
  <si>
    <t xml:space="preserve">214.35.208.25</t>
  </si>
  <si>
    <t xml:space="preserve">13766</t>
  </si>
  <si>
    <t xml:space="preserve">153.7.113.199</t>
  </si>
  <si>
    <t xml:space="preserve">206.77.136.133</t>
  </si>
  <si>
    <t xml:space="preserve">65377</t>
  </si>
  <si>
    <t xml:space="preserve">147.148.211.46</t>
  </si>
  <si>
    <t xml:space="preserve">206.171.92.25</t>
  </si>
  <si>
    <t xml:space="preserve">43763</t>
  </si>
  <si>
    <t xml:space="preserve">148.200.223.223</t>
  </si>
  <si>
    <t xml:space="preserve">213.52.118.20</t>
  </si>
  <si>
    <t xml:space="preserve">57522</t>
  </si>
  <si>
    <t xml:space="preserve">219.155.52.167</t>
  </si>
  <si>
    <t xml:space="preserve">174.57.37.123</t>
  </si>
  <si>
    <t xml:space="preserve">3430</t>
  </si>
  <si>
    <t xml:space="preserve">26.40.69.194</t>
  </si>
  <si>
    <t xml:space="preserve">112.170.57.59</t>
  </si>
  <si>
    <t xml:space="preserve">20191</t>
  </si>
  <si>
    <t xml:space="preserve">85.190.6.24</t>
  </si>
  <si>
    <t xml:space="preserve">148.6.61.123</t>
  </si>
  <si>
    <t xml:space="preserve">36108</t>
  </si>
  <si>
    <t xml:space="preserve">103.9.62.141</t>
  </si>
  <si>
    <t xml:space="preserve">101.11.66.216</t>
  </si>
  <si>
    <t xml:space="preserve">49999</t>
  </si>
  <si>
    <t xml:space="preserve">198.100.28.118</t>
  </si>
  <si>
    <t xml:space="preserve">214.94.208.178</t>
  </si>
  <si>
    <t xml:space="preserve">47508</t>
  </si>
  <si>
    <t xml:space="preserve">111.183.39.15</t>
  </si>
  <si>
    <t xml:space="preserve">3.108.162.146</t>
  </si>
  <si>
    <t xml:space="preserve">33440</t>
  </si>
  <si>
    <t xml:space="preserve">23.227.100.56</t>
  </si>
  <si>
    <t xml:space="preserve">31.39.94.129</t>
  </si>
  <si>
    <t xml:space="preserve">50899</t>
  </si>
  <si>
    <t xml:space="preserve">129.81.213.89</t>
  </si>
  <si>
    <t xml:space="preserve">3.249.53.250</t>
  </si>
  <si>
    <t xml:space="preserve">56835</t>
  </si>
  <si>
    <t xml:space="preserve">184.127.124.110</t>
  </si>
  <si>
    <t xml:space="preserve">140.160.75.56</t>
  </si>
  <si>
    <t xml:space="preserve">15684</t>
  </si>
  <si>
    <t xml:space="preserve">164.60.100.198</t>
  </si>
  <si>
    <t xml:space="preserve">204.177.153.122</t>
  </si>
  <si>
    <t xml:space="preserve">37962</t>
  </si>
  <si>
    <t xml:space="preserve">187.203.185.222</t>
  </si>
  <si>
    <t xml:space="preserve">55.58.195.96</t>
  </si>
  <si>
    <t xml:space="preserve">47527</t>
  </si>
  <si>
    <t xml:space="preserve">38.248.141.230</t>
  </si>
  <si>
    <t xml:space="preserve">35.129.29.58</t>
  </si>
  <si>
    <t xml:space="preserve">1906</t>
  </si>
  <si>
    <t xml:space="preserve">182.6.231.79</t>
  </si>
  <si>
    <t xml:space="preserve">73.201.33.65</t>
  </si>
  <si>
    <t xml:space="preserve">5994</t>
  </si>
  <si>
    <t xml:space="preserve">214.40.196.152</t>
  </si>
  <si>
    <t xml:space="preserve">179.243.54.45</t>
  </si>
  <si>
    <t xml:space="preserve">64813</t>
  </si>
  <si>
    <t xml:space="preserve">209.163.211.188</t>
  </si>
  <si>
    <t xml:space="preserve">77.186.246.217</t>
  </si>
  <si>
    <t xml:space="preserve">7095</t>
  </si>
  <si>
    <t xml:space="preserve">215.162.235.117</t>
  </si>
  <si>
    <t xml:space="preserve">201.120.152.88</t>
  </si>
  <si>
    <t xml:space="preserve">8238</t>
  </si>
  <si>
    <t xml:space="preserve">83.43.235.213</t>
  </si>
  <si>
    <t xml:space="preserve">199.240.97.102</t>
  </si>
  <si>
    <t xml:space="preserve">5458</t>
  </si>
  <si>
    <t xml:space="preserve">103.184.195.16</t>
  </si>
  <si>
    <t xml:space="preserve">125.147.43.33</t>
  </si>
  <si>
    <t xml:space="preserve">2225</t>
  </si>
  <si>
    <t xml:space="preserve">133.204.16.124</t>
  </si>
  <si>
    <t xml:space="preserve">98.169.219.115</t>
  </si>
  <si>
    <t xml:space="preserve">3074</t>
  </si>
  <si>
    <t xml:space="preserve">154.161.118.206</t>
  </si>
  <si>
    <t xml:space="preserve">147.58.89.110</t>
  </si>
  <si>
    <t xml:space="preserve">44867</t>
  </si>
  <si>
    <t xml:space="preserve">204.72.143.171</t>
  </si>
  <si>
    <t xml:space="preserve">139.252.71.146</t>
  </si>
  <si>
    <t xml:space="preserve">20410</t>
  </si>
  <si>
    <t xml:space="preserve">197.247.113.78</t>
  </si>
  <si>
    <t xml:space="preserve">213.68.74.136</t>
  </si>
  <si>
    <t xml:space="preserve">52712</t>
  </si>
  <si>
    <t xml:space="preserve">79.109.30.140</t>
  </si>
  <si>
    <t xml:space="preserve">32.232.183.103</t>
  </si>
  <si>
    <t xml:space="preserve">1084</t>
  </si>
  <si>
    <t xml:space="preserve">215.76.87.230</t>
  </si>
  <si>
    <t xml:space="preserve">2.48.236.161</t>
  </si>
  <si>
    <t xml:space="preserve">28575</t>
  </si>
  <si>
    <t xml:space="preserve">119.17.45.116</t>
  </si>
  <si>
    <t xml:space="preserve">202.27.254.188</t>
  </si>
  <si>
    <t xml:space="preserve">55881</t>
  </si>
  <si>
    <t xml:space="preserve">156.16.32.110</t>
  </si>
  <si>
    <t xml:space="preserve">190.251.64.1</t>
  </si>
  <si>
    <t xml:space="preserve">10907</t>
  </si>
  <si>
    <t xml:space="preserve">216.107.231.245</t>
  </si>
  <si>
    <t xml:space="preserve">206.94.109.73</t>
  </si>
  <si>
    <t xml:space="preserve">7164</t>
  </si>
  <si>
    <t xml:space="preserve">68.175.13.133</t>
  </si>
  <si>
    <t xml:space="preserve">158.105.187.132</t>
  </si>
  <si>
    <t xml:space="preserve">38904</t>
  </si>
  <si>
    <t xml:space="preserve">156.57.15.38</t>
  </si>
  <si>
    <t xml:space="preserve">164.91.228.78</t>
  </si>
  <si>
    <t xml:space="preserve">8945</t>
  </si>
  <si>
    <t xml:space="preserve">222.140.66.246</t>
  </si>
  <si>
    <t xml:space="preserve">116.144.60.180</t>
  </si>
  <si>
    <t xml:space="preserve">3970</t>
  </si>
  <si>
    <t xml:space="preserve">187.158.179.3</t>
  </si>
  <si>
    <t xml:space="preserve">122.175.139.203</t>
  </si>
  <si>
    <t xml:space="preserve">24135</t>
  </si>
  <si>
    <t xml:space="preserve">206.2.169.77</t>
  </si>
  <si>
    <t xml:space="preserve">206.114.41.134</t>
  </si>
  <si>
    <t xml:space="preserve">45974</t>
  </si>
  <si>
    <t xml:space="preserve">178.197.130.45</t>
  </si>
  <si>
    <t xml:space="preserve">201.99.22.125</t>
  </si>
  <si>
    <t xml:space="preserve">15381</t>
  </si>
  <si>
    <t xml:space="preserve">88.87.197.42</t>
  </si>
  <si>
    <t xml:space="preserve">206.200.141.221</t>
  </si>
  <si>
    <t xml:space="preserve">12025</t>
  </si>
  <si>
    <t xml:space="preserve">201.251.197.64</t>
  </si>
  <si>
    <t xml:space="preserve">218.191.29.24</t>
  </si>
  <si>
    <t xml:space="preserve">9733</t>
  </si>
  <si>
    <t xml:space="preserve">39.64.182.170</t>
  </si>
  <si>
    <t xml:space="preserve">170.9.167.77</t>
  </si>
  <si>
    <t xml:space="preserve">56233</t>
  </si>
  <si>
    <t xml:space="preserve">206.143.165.40</t>
  </si>
  <si>
    <t xml:space="preserve">170.166.81.58</t>
  </si>
  <si>
    <t xml:space="preserve">22022</t>
  </si>
  <si>
    <t xml:space="preserve">2.173.7.150</t>
  </si>
  <si>
    <t xml:space="preserve">37.17.225.102</t>
  </si>
  <si>
    <t xml:space="preserve">55479</t>
  </si>
  <si>
    <t xml:space="preserve">159.76.146.2</t>
  </si>
  <si>
    <t xml:space="preserve">68.160.226.82</t>
  </si>
  <si>
    <t xml:space="preserve">27089</t>
  </si>
  <si>
    <t xml:space="preserve">41.66.47.248</t>
  </si>
  <si>
    <t xml:space="preserve">212.203.42.127</t>
  </si>
  <si>
    <t xml:space="preserve">9018</t>
  </si>
  <si>
    <t xml:space="preserve">133.185.53.169</t>
  </si>
  <si>
    <t xml:space="preserve">131.230.60.193</t>
  </si>
  <si>
    <t xml:space="preserve">42847</t>
  </si>
  <si>
    <t xml:space="preserve">39.205.132.14</t>
  </si>
  <si>
    <t xml:space="preserve">179.169.49.104</t>
  </si>
  <si>
    <t xml:space="preserve">53262</t>
  </si>
  <si>
    <t xml:space="preserve">82.125.80.195</t>
  </si>
  <si>
    <t xml:space="preserve">116.21.213.230</t>
  </si>
  <si>
    <t xml:space="preserve">48141</t>
  </si>
  <si>
    <t xml:space="preserve">154.190.202.92</t>
  </si>
  <si>
    <t xml:space="preserve">51.144.75.244</t>
  </si>
  <si>
    <t xml:space="preserve">17154</t>
  </si>
  <si>
    <t xml:space="preserve">222.231.242.32</t>
  </si>
  <si>
    <t xml:space="preserve">177.152.78.73</t>
  </si>
  <si>
    <t xml:space="preserve">44586</t>
  </si>
  <si>
    <t xml:space="preserve">91.140.181.103</t>
  </si>
  <si>
    <t xml:space="preserve">221.116.18.160</t>
  </si>
  <si>
    <t xml:space="preserve">18269</t>
  </si>
  <si>
    <t xml:space="preserve">120.42.41.4</t>
  </si>
  <si>
    <t xml:space="preserve">139.180.238.114</t>
  </si>
  <si>
    <t xml:space="preserve">336</t>
  </si>
  <si>
    <t xml:space="preserve">50.29.253.254</t>
  </si>
  <si>
    <t xml:space="preserve">109.237.49.7</t>
  </si>
  <si>
    <t xml:space="preserve">32413</t>
  </si>
  <si>
    <t xml:space="preserve">171.161.206.177</t>
  </si>
  <si>
    <t xml:space="preserve">220.50.209.229</t>
  </si>
  <si>
    <t xml:space="preserve">49933</t>
  </si>
  <si>
    <t xml:space="preserve">71.64.143.159</t>
  </si>
  <si>
    <t xml:space="preserve">108.195.76.196</t>
  </si>
  <si>
    <t xml:space="preserve">13247</t>
  </si>
  <si>
    <t xml:space="preserve">214.255.66.56</t>
  </si>
  <si>
    <t xml:space="preserve">195.177.50.152</t>
  </si>
  <si>
    <t xml:space="preserve">58416</t>
  </si>
  <si>
    <t xml:space="preserve">193.174.17.207</t>
  </si>
  <si>
    <t xml:space="preserve">200.146.202.41</t>
  </si>
  <si>
    <t xml:space="preserve">5641</t>
  </si>
  <si>
    <t xml:space="preserve">222.157.67.46</t>
  </si>
  <si>
    <t xml:space="preserve">215.169.251.62</t>
  </si>
  <si>
    <t xml:space="preserve">45198</t>
  </si>
  <si>
    <t xml:space="preserve">86.22.89.37</t>
  </si>
  <si>
    <t xml:space="preserve">158.94.84.206</t>
  </si>
  <si>
    <t xml:space="preserve">53882</t>
  </si>
  <si>
    <t xml:space="preserve">209.25.73.8</t>
  </si>
  <si>
    <t xml:space="preserve">38.234.231.207</t>
  </si>
  <si>
    <t xml:space="preserve">61534</t>
  </si>
  <si>
    <t xml:space="preserve">128.86.248.231</t>
  </si>
  <si>
    <t xml:space="preserve">179.208.234.159</t>
  </si>
  <si>
    <t xml:space="preserve">37439</t>
  </si>
  <si>
    <t xml:space="preserve">37.217.183.176</t>
  </si>
  <si>
    <t xml:space="preserve">83.145.193.168</t>
  </si>
  <si>
    <t xml:space="preserve">34041</t>
  </si>
  <si>
    <t xml:space="preserve">140.170.161.203</t>
  </si>
  <si>
    <t xml:space="preserve">202.245.62.200</t>
  </si>
  <si>
    <t xml:space="preserve">47231</t>
  </si>
  <si>
    <t xml:space="preserve">119.12.35.228</t>
  </si>
  <si>
    <t xml:space="preserve">79.119.246.128</t>
  </si>
  <si>
    <t xml:space="preserve">19863</t>
  </si>
  <si>
    <t xml:space="preserve">161.118.134.247</t>
  </si>
  <si>
    <t xml:space="preserve">189.96.216.22</t>
  </si>
  <si>
    <t xml:space="preserve">47062</t>
  </si>
  <si>
    <t xml:space="preserve">199.241.122.95</t>
  </si>
  <si>
    <t xml:space="preserve">170.80.122.70</t>
  </si>
  <si>
    <t xml:space="preserve">29048</t>
  </si>
  <si>
    <t xml:space="preserve">148.202.109.12</t>
  </si>
  <si>
    <t xml:space="preserve">106.150.112.20</t>
  </si>
  <si>
    <t xml:space="preserve">13384</t>
  </si>
  <si>
    <t xml:space="preserve">72.86.105.244</t>
  </si>
  <si>
    <t xml:space="preserve">162.215.17.142</t>
  </si>
  <si>
    <t xml:space="preserve">7859</t>
  </si>
  <si>
    <t xml:space="preserve">126.106.229.3</t>
  </si>
  <si>
    <t xml:space="preserve">167.171.194.36</t>
  </si>
  <si>
    <t xml:space="preserve">45923</t>
  </si>
  <si>
    <t xml:space="preserve">207.35.147.199</t>
  </si>
  <si>
    <t xml:space="preserve">101.175.137.182</t>
  </si>
  <si>
    <t xml:space="preserve">30180</t>
  </si>
  <si>
    <t xml:space="preserve">99.195.238.47</t>
  </si>
  <si>
    <t xml:space="preserve">111.85.108.88</t>
  </si>
  <si>
    <t xml:space="preserve">60115</t>
  </si>
  <si>
    <t xml:space="preserve">215.134.71.52</t>
  </si>
  <si>
    <t xml:space="preserve">121.104.156.213</t>
  </si>
  <si>
    <t xml:space="preserve">56634</t>
  </si>
  <si>
    <t xml:space="preserve">162.210.170.206</t>
  </si>
  <si>
    <t xml:space="preserve">83.104.253.135</t>
  </si>
  <si>
    <t xml:space="preserve">47696</t>
  </si>
  <si>
    <t xml:space="preserve">79.95.22.225</t>
  </si>
  <si>
    <t xml:space="preserve">216.2.186.60</t>
  </si>
  <si>
    <t xml:space="preserve">9670</t>
  </si>
  <si>
    <t xml:space="preserve">40.59.161.231</t>
  </si>
  <si>
    <t xml:space="preserve">187.181.210.161</t>
  </si>
  <si>
    <t xml:space="preserve">40762</t>
  </si>
  <si>
    <t xml:space="preserve">217.223.87.240</t>
  </si>
  <si>
    <t xml:space="preserve">123.174.236.12</t>
  </si>
  <si>
    <t xml:space="preserve">26519</t>
  </si>
  <si>
    <t xml:space="preserve">148.114.197.165</t>
  </si>
  <si>
    <t xml:space="preserve">37.57.56.29</t>
  </si>
  <si>
    <t xml:space="preserve">10804</t>
  </si>
  <si>
    <t xml:space="preserve">122.8.201.55</t>
  </si>
  <si>
    <t xml:space="preserve">27.212.128.209</t>
  </si>
  <si>
    <t xml:space="preserve">21813</t>
  </si>
  <si>
    <t xml:space="preserve">77.28.225.17</t>
  </si>
  <si>
    <t xml:space="preserve">192.244.145.99</t>
  </si>
  <si>
    <t xml:space="preserve">14111</t>
  </si>
  <si>
    <t xml:space="preserve">195.136.104.156</t>
  </si>
  <si>
    <t xml:space="preserve">211.214.2.101</t>
  </si>
  <si>
    <t xml:space="preserve">22183</t>
  </si>
  <si>
    <t xml:space="preserve">151.238.92.199</t>
  </si>
  <si>
    <t xml:space="preserve">98.80.251.230</t>
  </si>
  <si>
    <t xml:space="preserve">20635</t>
  </si>
  <si>
    <t xml:space="preserve">146.179.241.175</t>
  </si>
  <si>
    <t xml:space="preserve">60.236.167.65</t>
  </si>
  <si>
    <t xml:space="preserve">50692</t>
  </si>
  <si>
    <t xml:space="preserve">171.101.83.156</t>
  </si>
  <si>
    <t xml:space="preserve">56.208.225.253</t>
  </si>
  <si>
    <t xml:space="preserve">39824</t>
  </si>
  <si>
    <t xml:space="preserve">206.172.134.154</t>
  </si>
  <si>
    <t xml:space="preserve">214.122.56.172</t>
  </si>
  <si>
    <t xml:space="preserve">22721</t>
  </si>
  <si>
    <t xml:space="preserve">200.0.109.130</t>
  </si>
  <si>
    <t xml:space="preserve">77.10.125.205</t>
  </si>
  <si>
    <t xml:space="preserve">38896</t>
  </si>
  <si>
    <t xml:space="preserve">140.59.218.184</t>
  </si>
  <si>
    <t xml:space="preserve">150.50.141.141</t>
  </si>
  <si>
    <t xml:space="preserve">27505</t>
  </si>
  <si>
    <t xml:space="preserve">56.209.132.110</t>
  </si>
  <si>
    <t xml:space="preserve">18.241.185.254</t>
  </si>
  <si>
    <t xml:space="preserve">30368</t>
  </si>
  <si>
    <t xml:space="preserve">162.125.121.89</t>
  </si>
  <si>
    <t xml:space="preserve">156.148.22.90</t>
  </si>
  <si>
    <t xml:space="preserve">9225</t>
  </si>
  <si>
    <t xml:space="preserve">219.44.77.42</t>
  </si>
  <si>
    <t xml:space="preserve">150.209.132.14</t>
  </si>
  <si>
    <t xml:space="preserve">47416</t>
  </si>
  <si>
    <t xml:space="preserve">186.93.172.38</t>
  </si>
  <si>
    <t xml:space="preserve">146.2.95.117</t>
  </si>
  <si>
    <t xml:space="preserve">29890</t>
  </si>
  <si>
    <t xml:space="preserve">82.52.1.168</t>
  </si>
  <si>
    <t xml:space="preserve">146.187.152.244</t>
  </si>
  <si>
    <t xml:space="preserve">63612</t>
  </si>
  <si>
    <t xml:space="preserve">145.49.55.26</t>
  </si>
  <si>
    <t xml:space="preserve">198.138.248.98</t>
  </si>
  <si>
    <t xml:space="preserve">54165</t>
  </si>
  <si>
    <t xml:space="preserve">199.108.127.147</t>
  </si>
  <si>
    <t xml:space="preserve">206.138.128.175</t>
  </si>
  <si>
    <t xml:space="preserve">44902</t>
  </si>
  <si>
    <t xml:space="preserve">210.31.174.13</t>
  </si>
  <si>
    <t xml:space="preserve">154.47.94.197</t>
  </si>
  <si>
    <t xml:space="preserve">38966</t>
  </si>
  <si>
    <t xml:space="preserve">205.74.197.129</t>
  </si>
  <si>
    <t xml:space="preserve">145.155.171.158</t>
  </si>
  <si>
    <t xml:space="preserve">53060</t>
  </si>
  <si>
    <t xml:space="preserve">137.157.80.123</t>
  </si>
  <si>
    <t xml:space="preserve">206.32.118.1</t>
  </si>
  <si>
    <t xml:space="preserve">43723</t>
  </si>
  <si>
    <t xml:space="preserve">63.18.145.73</t>
  </si>
  <si>
    <t xml:space="preserve">122.104.130.0</t>
  </si>
  <si>
    <t xml:space="preserve">37860</t>
  </si>
  <si>
    <t xml:space="preserve">125.64.135.15</t>
  </si>
  <si>
    <t xml:space="preserve">198.221.162.253</t>
  </si>
  <si>
    <t xml:space="preserve">24184</t>
  </si>
  <si>
    <t xml:space="preserve">183.0.147.170</t>
  </si>
  <si>
    <t xml:space="preserve">209.240.130.130</t>
  </si>
  <si>
    <t xml:space="preserve">6546</t>
  </si>
  <si>
    <t xml:space="preserve">197.243.243.249</t>
  </si>
  <si>
    <t xml:space="preserve">156.71.27.235</t>
  </si>
  <si>
    <t xml:space="preserve">28409</t>
  </si>
  <si>
    <t xml:space="preserve">143.10.104.116</t>
  </si>
  <si>
    <t xml:space="preserve">166.232.121.144</t>
  </si>
  <si>
    <t xml:space="preserve">64045</t>
  </si>
  <si>
    <t xml:space="preserve">207.161.15.183</t>
  </si>
  <si>
    <t xml:space="preserve">141.81.144.212</t>
  </si>
  <si>
    <t xml:space="preserve">62038</t>
  </si>
  <si>
    <t xml:space="preserve">159.149.169.49</t>
  </si>
  <si>
    <t xml:space="preserve">37.88.79.11</t>
  </si>
  <si>
    <t xml:space="preserve">34870</t>
  </si>
  <si>
    <t xml:space="preserve">47.47.212.4</t>
  </si>
  <si>
    <t xml:space="preserve">199.110.220.214</t>
  </si>
  <si>
    <t xml:space="preserve">64437</t>
  </si>
  <si>
    <t xml:space="preserve">179.25.40.161</t>
  </si>
  <si>
    <t xml:space="preserve">215.78.216.220</t>
  </si>
  <si>
    <t xml:space="preserve">59181</t>
  </si>
  <si>
    <t xml:space="preserve">82.101.194.160</t>
  </si>
  <si>
    <t xml:space="preserve">71.202.245.83</t>
  </si>
  <si>
    <t xml:space="preserve">45505</t>
  </si>
  <si>
    <t xml:space="preserve">143.24.190.23</t>
  </si>
  <si>
    <t xml:space="preserve">159.173.153.175</t>
  </si>
  <si>
    <t xml:space="preserve">4934</t>
  </si>
  <si>
    <t xml:space="preserve">115.103.114.252</t>
  </si>
  <si>
    <t xml:space="preserve">27.189.131.56</t>
  </si>
  <si>
    <t xml:space="preserve">51710</t>
  </si>
  <si>
    <t xml:space="preserve">106.8.210.148</t>
  </si>
  <si>
    <t xml:space="preserve">29.128.148.61</t>
  </si>
  <si>
    <t xml:space="preserve">21442</t>
  </si>
  <si>
    <t xml:space="preserve">192.187.80.196</t>
  </si>
  <si>
    <t xml:space="preserve">50.238.94.157</t>
  </si>
  <si>
    <t xml:space="preserve">43976</t>
  </si>
  <si>
    <t xml:space="preserve">177.87.60.192</t>
  </si>
  <si>
    <t xml:space="preserve">79.209.140.184</t>
  </si>
  <si>
    <t xml:space="preserve">26719</t>
  </si>
  <si>
    <t xml:space="preserve">171.146.52.98</t>
  </si>
  <si>
    <t xml:space="preserve">192.145.176.56</t>
  </si>
  <si>
    <t xml:space="preserve">50782</t>
  </si>
  <si>
    <t xml:space="preserve">5.250.155.205</t>
  </si>
  <si>
    <t xml:space="preserve">37.241.206.6</t>
  </si>
  <si>
    <t xml:space="preserve">15326</t>
  </si>
  <si>
    <t xml:space="preserve">163.143.191.151</t>
  </si>
  <si>
    <t xml:space="preserve">179.74.81.85</t>
  </si>
  <si>
    <t xml:space="preserve">54976</t>
  </si>
  <si>
    <t xml:space="preserve">190.28.81.126</t>
  </si>
  <si>
    <t xml:space="preserve">204.72.239.118</t>
  </si>
  <si>
    <t xml:space="preserve">11196</t>
  </si>
  <si>
    <t xml:space="preserve">196.15.206.239</t>
  </si>
  <si>
    <t xml:space="preserve">40.183.216.209</t>
  </si>
  <si>
    <t xml:space="preserve">21961</t>
  </si>
  <si>
    <t xml:space="preserve">168.159.125.58</t>
  </si>
  <si>
    <t xml:space="preserve">215.47.163.208</t>
  </si>
  <si>
    <t xml:space="preserve">17758</t>
  </si>
  <si>
    <t xml:space="preserve">56.12.122.244</t>
  </si>
  <si>
    <t xml:space="preserve">141.190.182.14</t>
  </si>
  <si>
    <t xml:space="preserve">53587</t>
  </si>
  <si>
    <t xml:space="preserve">168.41.228.120</t>
  </si>
  <si>
    <t xml:space="preserve">180.177.244.192</t>
  </si>
  <si>
    <t xml:space="preserve">29068</t>
  </si>
  <si>
    <t xml:space="preserve">66.116.71.125</t>
  </si>
  <si>
    <t xml:space="preserve">88.14.36.255</t>
  </si>
  <si>
    <t xml:space="preserve">11033</t>
  </si>
  <si>
    <t xml:space="preserve">202.79.31.59</t>
  </si>
  <si>
    <t xml:space="preserve">187.27.103.237</t>
  </si>
  <si>
    <t xml:space="preserve">24021</t>
  </si>
  <si>
    <t xml:space="preserve">221.96.100.192</t>
  </si>
  <si>
    <t xml:space="preserve">112.204.17.82</t>
  </si>
  <si>
    <t xml:space="preserve">57693</t>
  </si>
  <si>
    <t xml:space="preserve">207.181.38.36</t>
  </si>
  <si>
    <t xml:space="preserve">187.137.90.93</t>
  </si>
  <si>
    <t xml:space="preserve">47934</t>
  </si>
  <si>
    <t xml:space="preserve">107.56.79.208</t>
  </si>
  <si>
    <t xml:space="preserve">48.137.207.241</t>
  </si>
  <si>
    <t xml:space="preserve">46801</t>
  </si>
  <si>
    <t xml:space="preserve">212.2.137.31</t>
  </si>
  <si>
    <t xml:space="preserve">81.21.31.115</t>
  </si>
  <si>
    <t xml:space="preserve">54556</t>
  </si>
  <si>
    <t xml:space="preserve">170.240.244.156</t>
  </si>
  <si>
    <t xml:space="preserve">181.104.219.238</t>
  </si>
  <si>
    <t xml:space="preserve">64573</t>
  </si>
  <si>
    <t xml:space="preserve">216.76.23.105</t>
  </si>
  <si>
    <t xml:space="preserve">128.79.214.235</t>
  </si>
  <si>
    <t xml:space="preserve">7040</t>
  </si>
  <si>
    <t xml:space="preserve">104.172.45.65</t>
  </si>
  <si>
    <t xml:space="preserve">209.34.22.217</t>
  </si>
  <si>
    <t xml:space="preserve">20944</t>
  </si>
  <si>
    <t xml:space="preserve">92.54.240.207</t>
  </si>
  <si>
    <t xml:space="preserve">154.118.7.33</t>
  </si>
  <si>
    <t xml:space="preserve">39927</t>
  </si>
  <si>
    <t xml:space="preserve">163.149.51.34</t>
  </si>
  <si>
    <t xml:space="preserve">25.168.145.148</t>
  </si>
  <si>
    <t xml:space="preserve">5559</t>
  </si>
  <si>
    <t xml:space="preserve">205.17.195.165</t>
  </si>
  <si>
    <t xml:space="preserve">216.243.90.138</t>
  </si>
  <si>
    <t xml:space="preserve">3118</t>
  </si>
  <si>
    <t xml:space="preserve">201.186.81.51</t>
  </si>
  <si>
    <t xml:space="preserve">220.215.168.11</t>
  </si>
  <si>
    <t xml:space="preserve">50458</t>
  </si>
  <si>
    <t xml:space="preserve">23.201.85.114</t>
  </si>
  <si>
    <t xml:space="preserve">45.93.114.221</t>
  </si>
  <si>
    <t xml:space="preserve">19102</t>
  </si>
  <si>
    <t xml:space="preserve">195.2.216.87</t>
  </si>
  <si>
    <t xml:space="preserve">219.43.84.39</t>
  </si>
  <si>
    <t xml:space="preserve">60994</t>
  </si>
  <si>
    <t xml:space="preserve">13.154.41.15</t>
  </si>
  <si>
    <t xml:space="preserve">220.120.137.73</t>
  </si>
  <si>
    <t xml:space="preserve">13243</t>
  </si>
  <si>
    <t xml:space="preserve">184.235.138.82</t>
  </si>
  <si>
    <t xml:space="preserve">219.149.147.227</t>
  </si>
  <si>
    <t xml:space="preserve">12393</t>
  </si>
  <si>
    <t xml:space="preserve">200.155.32.171</t>
  </si>
  <si>
    <t xml:space="preserve">194.23.218.61</t>
  </si>
  <si>
    <t xml:space="preserve">28362</t>
  </si>
  <si>
    <t xml:space="preserve">223.159.153.139</t>
  </si>
  <si>
    <t xml:space="preserve">157.241.110.89</t>
  </si>
  <si>
    <t xml:space="preserve">40845</t>
  </si>
  <si>
    <t xml:space="preserve">202.188.116.28</t>
  </si>
  <si>
    <t xml:space="preserve">136.152.218.4</t>
  </si>
  <si>
    <t xml:space="preserve">203</t>
  </si>
  <si>
    <t xml:space="preserve">151.14.59.199</t>
  </si>
  <si>
    <t xml:space="preserve">150.163.150.138</t>
  </si>
  <si>
    <t xml:space="preserve">44412</t>
  </si>
  <si>
    <t xml:space="preserve">159.141.181.64</t>
  </si>
  <si>
    <t xml:space="preserve">211.13.31.39</t>
  </si>
  <si>
    <t xml:space="preserve">10792</t>
  </si>
  <si>
    <t xml:space="preserve">208.83.17.157</t>
  </si>
  <si>
    <t xml:space="preserve">67.126.117.244</t>
  </si>
  <si>
    <t xml:space="preserve">16188</t>
  </si>
  <si>
    <t xml:space="preserve">195.225.34.8</t>
  </si>
  <si>
    <t xml:space="preserve">75.52.184.247</t>
  </si>
  <si>
    <t xml:space="preserve">1192</t>
  </si>
  <si>
    <t xml:space="preserve">187.73.42.216</t>
  </si>
  <si>
    <t xml:space="preserve">205.248.54.8</t>
  </si>
  <si>
    <t xml:space="preserve">51910</t>
  </si>
  <si>
    <t xml:space="preserve">196.208.97.58</t>
  </si>
  <si>
    <t xml:space="preserve">223.156.197.235</t>
  </si>
  <si>
    <t xml:space="preserve">39925</t>
  </si>
  <si>
    <t xml:space="preserve">191.216.213.2</t>
  </si>
  <si>
    <t xml:space="preserve">89.241.108.8</t>
  </si>
  <si>
    <t xml:space="preserve">18688</t>
  </si>
  <si>
    <t xml:space="preserve">223.69.124.126</t>
  </si>
  <si>
    <t xml:space="preserve">109.10.113.133</t>
  </si>
  <si>
    <t xml:space="preserve">58265</t>
  </si>
  <si>
    <t xml:space="preserve">96.72.196.120</t>
  </si>
  <si>
    <t xml:space="preserve">48.154.71.251</t>
  </si>
  <si>
    <t xml:space="preserve">60574</t>
  </si>
  <si>
    <t xml:space="preserve">124.87.83.70</t>
  </si>
  <si>
    <t xml:space="preserve">219.62.222.99</t>
  </si>
  <si>
    <t xml:space="preserve">16352</t>
  </si>
  <si>
    <t xml:space="preserve">186.91.126.201</t>
  </si>
  <si>
    <t xml:space="preserve">60.49.230.114</t>
  </si>
  <si>
    <t xml:space="preserve">37168</t>
  </si>
  <si>
    <t xml:space="preserve">93.219.2.142</t>
  </si>
  <si>
    <t xml:space="preserve">203.165.31.79</t>
  </si>
  <si>
    <t xml:space="preserve">35584</t>
  </si>
  <si>
    <t xml:space="preserve">213.239.124.209</t>
  </si>
  <si>
    <t xml:space="preserve">92.251.87.8</t>
  </si>
  <si>
    <t xml:space="preserve">62770</t>
  </si>
  <si>
    <t xml:space="preserve">208.18.30.246</t>
  </si>
  <si>
    <t xml:space="preserve">117.73.233.235</t>
  </si>
  <si>
    <t xml:space="preserve">63168</t>
  </si>
  <si>
    <t xml:space="preserve">16.27.149.207</t>
  </si>
  <si>
    <t xml:space="preserve">55.117.132.223</t>
  </si>
  <si>
    <t xml:space="preserve">40253</t>
  </si>
  <si>
    <t xml:space="preserve">147.137.239.101</t>
  </si>
  <si>
    <t xml:space="preserve">66.109.89.114</t>
  </si>
  <si>
    <t xml:space="preserve">28441</t>
  </si>
  <si>
    <t xml:space="preserve">70.100.172.193</t>
  </si>
  <si>
    <t xml:space="preserve">176.150.114.2</t>
  </si>
  <si>
    <t xml:space="preserve">13959</t>
  </si>
  <si>
    <t xml:space="preserve">173.36.176.240</t>
  </si>
  <si>
    <t xml:space="preserve">86.111.230.132</t>
  </si>
  <si>
    <t xml:space="preserve">55409</t>
  </si>
  <si>
    <t xml:space="preserve">96.42.122.0</t>
  </si>
  <si>
    <t xml:space="preserve">138.71.91.235</t>
  </si>
  <si>
    <t xml:space="preserve">48001</t>
  </si>
  <si>
    <t xml:space="preserve">198.45.144.201</t>
  </si>
  <si>
    <t xml:space="preserve">191.219.192.246</t>
  </si>
  <si>
    <t xml:space="preserve">53267</t>
  </si>
  <si>
    <t xml:space="preserve">211.214.8.150</t>
  </si>
  <si>
    <t xml:space="preserve">107.205.119.122</t>
  </si>
  <si>
    <t xml:space="preserve">43961</t>
  </si>
  <si>
    <t xml:space="preserve">213.194.235.21</t>
  </si>
  <si>
    <t xml:space="preserve">20.200.246.197</t>
  </si>
  <si>
    <t xml:space="preserve">34368</t>
  </si>
  <si>
    <t xml:space="preserve">209.81.207.45</t>
  </si>
  <si>
    <t xml:space="preserve">8.173.255.183</t>
  </si>
  <si>
    <t xml:space="preserve">22034</t>
  </si>
  <si>
    <t xml:space="preserve">186.63.218.185</t>
  </si>
  <si>
    <t xml:space="preserve">161.18.35.138</t>
  </si>
  <si>
    <t xml:space="preserve">59119</t>
  </si>
  <si>
    <t xml:space="preserve">222.169.165.137</t>
  </si>
  <si>
    <t xml:space="preserve">164.103.25.100</t>
  </si>
  <si>
    <t xml:space="preserve">40929</t>
  </si>
  <si>
    <t xml:space="preserve">221.229.226.127</t>
  </si>
  <si>
    <t xml:space="preserve">160.93.30.38</t>
  </si>
  <si>
    <t xml:space="preserve">9304</t>
  </si>
  <si>
    <t xml:space="preserve">192.141.7.41</t>
  </si>
  <si>
    <t xml:space="preserve">199.147.254.63</t>
  </si>
  <si>
    <t xml:space="preserve">51506</t>
  </si>
  <si>
    <t xml:space="preserve">194.128.199.154</t>
  </si>
  <si>
    <t xml:space="preserve">65.204.31.182</t>
  </si>
  <si>
    <t xml:space="preserve">48915</t>
  </si>
  <si>
    <t xml:space="preserve">159.54.213.63</t>
  </si>
  <si>
    <t xml:space="preserve">2.141.48.111</t>
  </si>
  <si>
    <t xml:space="preserve">4427</t>
  </si>
  <si>
    <t xml:space="preserve">161.202.191.28</t>
  </si>
  <si>
    <t xml:space="preserve">140.63.231.181</t>
  </si>
  <si>
    <t xml:space="preserve">28112</t>
  </si>
  <si>
    <t xml:space="preserve">189.10.139.93</t>
  </si>
  <si>
    <t xml:space="preserve">173.0.101.38</t>
  </si>
  <si>
    <t xml:space="preserve">58409</t>
  </si>
  <si>
    <t xml:space="preserve">183.11.139.72</t>
  </si>
  <si>
    <t xml:space="preserve">205.101.119.170</t>
  </si>
  <si>
    <t xml:space="preserve">23946</t>
  </si>
  <si>
    <t xml:space="preserve">162.155.232.98</t>
  </si>
  <si>
    <t xml:space="preserve">201.127.158.127</t>
  </si>
  <si>
    <t xml:space="preserve">49287</t>
  </si>
  <si>
    <t xml:space="preserve">175.115.186.38</t>
  </si>
  <si>
    <t xml:space="preserve">141.171.129.255</t>
  </si>
  <si>
    <t xml:space="preserve">35573</t>
  </si>
  <si>
    <t xml:space="preserve">67.155.174.206</t>
  </si>
  <si>
    <t xml:space="preserve">155.129.62.23</t>
  </si>
  <si>
    <t xml:space="preserve">9679</t>
  </si>
  <si>
    <t xml:space="preserve">197.138.107.120</t>
  </si>
  <si>
    <t xml:space="preserve">217.42.58.198</t>
  </si>
  <si>
    <t xml:space="preserve">17441</t>
  </si>
  <si>
    <t xml:space="preserve">64.136.97.167</t>
  </si>
  <si>
    <t xml:space="preserve">185.207.87.67</t>
  </si>
  <si>
    <t xml:space="preserve">17610</t>
  </si>
  <si>
    <t xml:space="preserve">137.178.234.248</t>
  </si>
  <si>
    <t xml:space="preserve">52.49.31.173</t>
  </si>
  <si>
    <t xml:space="preserve">41015</t>
  </si>
  <si>
    <t xml:space="preserve">166.99.173.197</t>
  </si>
  <si>
    <t xml:space="preserve">204.77.104.197</t>
  </si>
  <si>
    <t xml:space="preserve">43489</t>
  </si>
  <si>
    <t xml:space="preserve">201.183.175.83</t>
  </si>
  <si>
    <t xml:space="preserve">167.78.32.128</t>
  </si>
  <si>
    <t xml:space="preserve">46782</t>
  </si>
  <si>
    <t xml:space="preserve">211.91.225.13</t>
  </si>
  <si>
    <t xml:space="preserve">207.9.22.169</t>
  </si>
  <si>
    <t xml:space="preserve">43033</t>
  </si>
  <si>
    <t xml:space="preserve">191.232.159.225</t>
  </si>
  <si>
    <t xml:space="preserve">139.44.4.176</t>
  </si>
  <si>
    <t xml:space="preserve">2715</t>
  </si>
  <si>
    <t xml:space="preserve">165.249.34.194</t>
  </si>
  <si>
    <t xml:space="preserve">27.30.152.19</t>
  </si>
  <si>
    <t xml:space="preserve">63446</t>
  </si>
  <si>
    <t xml:space="preserve">223.175.47.134</t>
  </si>
  <si>
    <t xml:space="preserve">168.192.136.127</t>
  </si>
  <si>
    <t xml:space="preserve">718</t>
  </si>
  <si>
    <t xml:space="preserve">63.11.204.41</t>
  </si>
  <si>
    <t xml:space="preserve">204.63.169.192</t>
  </si>
  <si>
    <t xml:space="preserve">25108</t>
  </si>
  <si>
    <t xml:space="preserve">218.216.218.197</t>
  </si>
  <si>
    <t xml:space="preserve">164.27.86.75</t>
  </si>
  <si>
    <t xml:space="preserve">49123</t>
  </si>
  <si>
    <t xml:space="preserve">204.107.207.118</t>
  </si>
  <si>
    <t xml:space="preserve">60.76.163.197</t>
  </si>
  <si>
    <t xml:space="preserve">32451</t>
  </si>
  <si>
    <t xml:space="preserve">155.68.117.3</t>
  </si>
  <si>
    <t xml:space="preserve">178.67.65.147</t>
  </si>
  <si>
    <t xml:space="preserve">14685</t>
  </si>
  <si>
    <t xml:space="preserve">211.42.73.71</t>
  </si>
  <si>
    <t xml:space="preserve">202.46.27.96</t>
  </si>
  <si>
    <t xml:space="preserve">63008</t>
  </si>
  <si>
    <t xml:space="preserve">207.91.133.40</t>
  </si>
  <si>
    <t xml:space="preserve">176.212.165.119</t>
  </si>
  <si>
    <t xml:space="preserve">3497</t>
  </si>
  <si>
    <t xml:space="preserve">177.174.246.195</t>
  </si>
  <si>
    <t xml:space="preserve">104.218.197.222</t>
  </si>
  <si>
    <t xml:space="preserve">54287</t>
  </si>
  <si>
    <t xml:space="preserve">144.230.85.0</t>
  </si>
  <si>
    <t xml:space="preserve">198.103.35.214</t>
  </si>
  <si>
    <t xml:space="preserve">30682</t>
  </si>
  <si>
    <t xml:space="preserve">149.33.25.135</t>
  </si>
  <si>
    <t xml:space="preserve">151.138.146.70</t>
  </si>
  <si>
    <t xml:space="preserve">6666</t>
  </si>
  <si>
    <t xml:space="preserve">146.9.29.225</t>
  </si>
  <si>
    <t xml:space="preserve">172.12.232.217</t>
  </si>
  <si>
    <t xml:space="preserve">19730</t>
  </si>
  <si>
    <t xml:space="preserve">68.165.162.84</t>
  </si>
  <si>
    <t xml:space="preserve">33.206.125.211</t>
  </si>
  <si>
    <t xml:space="preserve">52415</t>
  </si>
  <si>
    <t xml:space="preserve">214.81.230.153</t>
  </si>
  <si>
    <t xml:space="preserve">55.48.165.136</t>
  </si>
  <si>
    <t xml:space="preserve">32733</t>
  </si>
  <si>
    <t xml:space="preserve">164.109.241.71</t>
  </si>
  <si>
    <t xml:space="preserve">164.40.215.41</t>
  </si>
  <si>
    <t xml:space="preserve">60442</t>
  </si>
  <si>
    <t xml:space="preserve">71.46.158.34</t>
  </si>
  <si>
    <t xml:space="preserve">107.181.47.80</t>
  </si>
  <si>
    <t xml:space="preserve">57308</t>
  </si>
  <si>
    <t xml:space="preserve">28.233.145.239</t>
  </si>
  <si>
    <t xml:space="preserve">13.96.174.3</t>
  </si>
  <si>
    <t xml:space="preserve">4077</t>
  </si>
  <si>
    <t xml:space="preserve">204.46.36.173</t>
  </si>
  <si>
    <t xml:space="preserve">192.31.77.11</t>
  </si>
  <si>
    <t xml:space="preserve">407</t>
  </si>
  <si>
    <t xml:space="preserve">15.93.32.89</t>
  </si>
  <si>
    <t xml:space="preserve">136.68.125.117</t>
  </si>
  <si>
    <t xml:space="preserve">39006</t>
  </si>
  <si>
    <t xml:space="preserve">174.198.109.83</t>
  </si>
  <si>
    <t xml:space="preserve">151.40.120.56</t>
  </si>
  <si>
    <t xml:space="preserve">33876</t>
  </si>
  <si>
    <t xml:space="preserve">218.19.27.67</t>
  </si>
  <si>
    <t xml:space="preserve">106.212.157.127</t>
  </si>
  <si>
    <t xml:space="preserve">45872</t>
  </si>
  <si>
    <t xml:space="preserve">200.236.195.46</t>
  </si>
  <si>
    <t xml:space="preserve">200.180.6.108</t>
  </si>
  <si>
    <t xml:space="preserve">55802</t>
  </si>
  <si>
    <t xml:space="preserve">137.8.21.24</t>
  </si>
  <si>
    <t xml:space="preserve">157.231.95.102</t>
  </si>
  <si>
    <t xml:space="preserve">8166</t>
  </si>
  <si>
    <t xml:space="preserve">182.206.88.35</t>
  </si>
  <si>
    <t xml:space="preserve">223.58.61.18</t>
  </si>
  <si>
    <t xml:space="preserve">37358</t>
  </si>
  <si>
    <t xml:space="preserve">3.81.109.228</t>
  </si>
  <si>
    <t xml:space="preserve">138.120.159.88</t>
  </si>
  <si>
    <t xml:space="preserve">26646</t>
  </si>
  <si>
    <t xml:space="preserve">112.42.122.90</t>
  </si>
  <si>
    <t xml:space="preserve">31.60.230.181</t>
  </si>
  <si>
    <t xml:space="preserve">47521</t>
  </si>
  <si>
    <t xml:space="preserve">142.85.173.170</t>
  </si>
  <si>
    <t xml:space="preserve">202.26.78.173</t>
  </si>
  <si>
    <t xml:space="preserve">63485</t>
  </si>
  <si>
    <t xml:space="preserve">8.237.3.103</t>
  </si>
  <si>
    <t xml:space="preserve">4.165.147.201</t>
  </si>
  <si>
    <t xml:space="preserve">59869</t>
  </si>
  <si>
    <t xml:space="preserve">223.100.222.141</t>
  </si>
  <si>
    <t xml:space="preserve">141.252.108.87</t>
  </si>
  <si>
    <t xml:space="preserve">37264</t>
  </si>
  <si>
    <t xml:space="preserve">5.62.70.78</t>
  </si>
  <si>
    <t xml:space="preserve">94.245.119.86</t>
  </si>
  <si>
    <t xml:space="preserve">56785</t>
  </si>
  <si>
    <t xml:space="preserve">42.50.18.53</t>
  </si>
  <si>
    <t xml:space="preserve">217.144.85.4</t>
  </si>
  <si>
    <t xml:space="preserve">6206</t>
  </si>
  <si>
    <t xml:space="preserve">155.172.127.26</t>
  </si>
  <si>
    <t xml:space="preserve">35.75.56.201</t>
  </si>
  <si>
    <t xml:space="preserve">17516</t>
  </si>
  <si>
    <t xml:space="preserve">147.34.187.245</t>
  </si>
  <si>
    <t xml:space="preserve">215.138.149.172</t>
  </si>
  <si>
    <t xml:space="preserve">27988</t>
  </si>
  <si>
    <t xml:space="preserve">209.197.123.142</t>
  </si>
  <si>
    <t xml:space="preserve">136.143.252.97</t>
  </si>
  <si>
    <t xml:space="preserve">13420</t>
  </si>
  <si>
    <t xml:space="preserve">207.20.47.162</t>
  </si>
  <si>
    <t xml:space="preserve">1.237.84.18</t>
  </si>
  <si>
    <t xml:space="preserve">60969</t>
  </si>
  <si>
    <t xml:space="preserve">104.237.228.158</t>
  </si>
  <si>
    <t xml:space="preserve">222.89.112.252</t>
  </si>
  <si>
    <t xml:space="preserve">23253</t>
  </si>
  <si>
    <t xml:space="preserve">197.178.109.116</t>
  </si>
  <si>
    <t xml:space="preserve">50.53.204.171</t>
  </si>
  <si>
    <t xml:space="preserve">42721</t>
  </si>
  <si>
    <t xml:space="preserve">213.237.0.213</t>
  </si>
  <si>
    <t xml:space="preserve">218.197.188.243</t>
  </si>
  <si>
    <t xml:space="preserve">13767</t>
  </si>
  <si>
    <t xml:space="preserve">222.10.87.4</t>
  </si>
  <si>
    <t xml:space="preserve">184.60.170.200</t>
  </si>
  <si>
    <t xml:space="preserve">54307</t>
  </si>
  <si>
    <t xml:space="preserve">195.196.109.248</t>
  </si>
  <si>
    <t xml:space="preserve">34.102.35.187</t>
  </si>
  <si>
    <t xml:space="preserve">14658</t>
  </si>
  <si>
    <t xml:space="preserve">214.204.179.97</t>
  </si>
  <si>
    <t xml:space="preserve">29.106.108.248</t>
  </si>
  <si>
    <t xml:space="preserve">56258</t>
  </si>
  <si>
    <t xml:space="preserve">101.247.148.154</t>
  </si>
  <si>
    <t xml:space="preserve">219.170.9.54</t>
  </si>
  <si>
    <t xml:space="preserve">6557</t>
  </si>
  <si>
    <t xml:space="preserve">143.158.96.45</t>
  </si>
  <si>
    <t xml:space="preserve">79.43.113.155</t>
  </si>
  <si>
    <t xml:space="preserve">37186</t>
  </si>
  <si>
    <t xml:space="preserve">206.40.96.158</t>
  </si>
  <si>
    <t xml:space="preserve">202.163.149.114</t>
  </si>
  <si>
    <t xml:space="preserve">10588</t>
  </si>
  <si>
    <t xml:space="preserve">208.177.154.103</t>
  </si>
  <si>
    <t xml:space="preserve">197.33.204.190</t>
  </si>
  <si>
    <t xml:space="preserve">17960</t>
  </si>
  <si>
    <t xml:space="preserve">132.124.207.30</t>
  </si>
  <si>
    <t xml:space="preserve">204.150.39.38</t>
  </si>
  <si>
    <t xml:space="preserve">55111</t>
  </si>
  <si>
    <t xml:space="preserve">117.182.224.57</t>
  </si>
  <si>
    <t xml:space="preserve">61.36.22.112</t>
  </si>
  <si>
    <t xml:space="preserve">9189</t>
  </si>
  <si>
    <t xml:space="preserve">209.46.171.221</t>
  </si>
  <si>
    <t xml:space="preserve">67.133.212.174</t>
  </si>
  <si>
    <t xml:space="preserve">39038</t>
  </si>
  <si>
    <t xml:space="preserve">195.173.232.181</t>
  </si>
  <si>
    <t xml:space="preserve">159.136.203.192</t>
  </si>
  <si>
    <t xml:space="preserve">44783</t>
  </si>
  <si>
    <t xml:space="preserve">80.143.223.138</t>
  </si>
  <si>
    <t xml:space="preserve">206.185.104.44</t>
  </si>
  <si>
    <t xml:space="preserve">47652</t>
  </si>
  <si>
    <t xml:space="preserve">142.238.38.5</t>
  </si>
  <si>
    <t xml:space="preserve">151.112.41.179</t>
  </si>
  <si>
    <t xml:space="preserve">56010</t>
  </si>
  <si>
    <t xml:space="preserve">203.233.58.160</t>
  </si>
  <si>
    <t xml:space="preserve">38.163.214.240</t>
  </si>
  <si>
    <t xml:space="preserve">39420</t>
  </si>
  <si>
    <t xml:space="preserve">41.146.229.179</t>
  </si>
  <si>
    <t xml:space="preserve">215.32.108.77</t>
  </si>
  <si>
    <t xml:space="preserve">60511</t>
  </si>
  <si>
    <t xml:space="preserve">169.50.141.7</t>
  </si>
  <si>
    <t xml:space="preserve">78.216.1.241</t>
  </si>
  <si>
    <t xml:space="preserve">42247</t>
  </si>
  <si>
    <t xml:space="preserve">161.65.237.241</t>
  </si>
  <si>
    <t xml:space="preserve">65.199.201.123</t>
  </si>
  <si>
    <t xml:space="preserve">14754</t>
  </si>
  <si>
    <t xml:space="preserve">130.168.222.228</t>
  </si>
  <si>
    <t xml:space="preserve">143.190.95.165</t>
  </si>
  <si>
    <t xml:space="preserve">62861</t>
  </si>
  <si>
    <t xml:space="preserve">213.106.36.197</t>
  </si>
  <si>
    <t xml:space="preserve">82.109.23.52</t>
  </si>
  <si>
    <t xml:space="preserve">727</t>
  </si>
  <si>
    <t xml:space="preserve">133.146.32.96</t>
  </si>
  <si>
    <t xml:space="preserve">167.156.221.186</t>
  </si>
  <si>
    <t xml:space="preserve">22120</t>
  </si>
  <si>
    <t xml:space="preserve">190.113.4.128</t>
  </si>
  <si>
    <t xml:space="preserve">51.180.221.25</t>
  </si>
  <si>
    <t xml:space="preserve">37387</t>
  </si>
  <si>
    <t xml:space="preserve">117.182.80.83</t>
  </si>
  <si>
    <t xml:space="preserve">79.37.130.211</t>
  </si>
  <si>
    <t xml:space="preserve">32418</t>
  </si>
  <si>
    <t xml:space="preserve">138.236.84.12</t>
  </si>
  <si>
    <t xml:space="preserve">147.24.165.54</t>
  </si>
  <si>
    <t xml:space="preserve">6899</t>
  </si>
  <si>
    <t xml:space="preserve">91.81.12.135</t>
  </si>
  <si>
    <t xml:space="preserve">147.96.170.241</t>
  </si>
  <si>
    <t xml:space="preserve">37928</t>
  </si>
  <si>
    <t xml:space="preserve">148.32.189.225</t>
  </si>
  <si>
    <t xml:space="preserve">148.153.161.4</t>
  </si>
  <si>
    <t xml:space="preserve">41199</t>
  </si>
  <si>
    <t xml:space="preserve">40.14.72.28</t>
  </si>
  <si>
    <t xml:space="preserve">133.120.151.165</t>
  </si>
  <si>
    <t xml:space="preserve">35964</t>
  </si>
  <si>
    <t xml:space="preserve">130.10.215.184</t>
  </si>
  <si>
    <t xml:space="preserve">149.112.129.17</t>
  </si>
  <si>
    <t xml:space="preserve">12095</t>
  </si>
  <si>
    <t xml:space="preserve">162.201.190.115</t>
  </si>
  <si>
    <t xml:space="preserve">206.44.102.251</t>
  </si>
  <si>
    <t xml:space="preserve">7228</t>
  </si>
  <si>
    <t xml:space="preserve">150.12.250.15</t>
  </si>
  <si>
    <t xml:space="preserve">203.172.133.246</t>
  </si>
  <si>
    <t xml:space="preserve">5633</t>
  </si>
  <si>
    <t xml:space="preserve">168.132.90.177</t>
  </si>
  <si>
    <t xml:space="preserve">216.161.85.130</t>
  </si>
  <si>
    <t xml:space="preserve">62730</t>
  </si>
  <si>
    <t xml:space="preserve">206.78.227.14</t>
  </si>
  <si>
    <t xml:space="preserve">99.67.238.236</t>
  </si>
  <si>
    <t xml:space="preserve">16714</t>
  </si>
  <si>
    <t xml:space="preserve">220.224.190.172</t>
  </si>
  <si>
    <t xml:space="preserve">146.135.3.233</t>
  </si>
  <si>
    <t xml:space="preserve">38530</t>
  </si>
  <si>
    <t xml:space="preserve">153.252.144.4</t>
  </si>
  <si>
    <t xml:space="preserve">209.22.215.144</t>
  </si>
  <si>
    <t xml:space="preserve">11490</t>
  </si>
  <si>
    <t xml:space="preserve">54.11.159.152</t>
  </si>
  <si>
    <t xml:space="preserve">208.80.15.18</t>
  </si>
  <si>
    <t xml:space="preserve">16832</t>
  </si>
  <si>
    <t xml:space="preserve">132.208.143.126</t>
  </si>
  <si>
    <t xml:space="preserve">136.4.82.51</t>
  </si>
  <si>
    <t xml:space="preserve">34596</t>
  </si>
  <si>
    <t xml:space="preserve">170.199.148.204</t>
  </si>
  <si>
    <t xml:space="preserve">3.213.119.88</t>
  </si>
  <si>
    <t xml:space="preserve">16073</t>
  </si>
  <si>
    <t xml:space="preserve">68.130.153.220</t>
  </si>
  <si>
    <t xml:space="preserve">37.218.111.7</t>
  </si>
  <si>
    <t xml:space="preserve">30240</t>
  </si>
  <si>
    <t xml:space="preserve">162.119.88.87</t>
  </si>
  <si>
    <t xml:space="preserve">55.113.177.121</t>
  </si>
  <si>
    <t xml:space="preserve">34178</t>
  </si>
  <si>
    <t xml:space="preserve">61.177.137.236</t>
  </si>
  <si>
    <t xml:space="preserve">90.58.156.25</t>
  </si>
  <si>
    <t xml:space="preserve">48741</t>
  </si>
  <si>
    <t xml:space="preserve">82.212.176.252</t>
  </si>
  <si>
    <t xml:space="preserve">213.52.135.61</t>
  </si>
  <si>
    <t xml:space="preserve">46545</t>
  </si>
  <si>
    <t xml:space="preserve">206.234.151.195</t>
  </si>
  <si>
    <t xml:space="preserve">215.49.5.179</t>
  </si>
  <si>
    <t xml:space="preserve">61748</t>
  </si>
  <si>
    <t xml:space="preserve">110.234.3.239</t>
  </si>
  <si>
    <t xml:space="preserve">52.157.37.243</t>
  </si>
  <si>
    <t xml:space="preserve">209.177.163.95</t>
  </si>
  <si>
    <t xml:space="preserve">34.83.118.72</t>
  </si>
  <si>
    <t xml:space="preserve">48361</t>
  </si>
  <si>
    <t xml:space="preserve">166.122.121.18</t>
  </si>
  <si>
    <t xml:space="preserve">216.167.107.189</t>
  </si>
  <si>
    <t xml:space="preserve">19376</t>
  </si>
  <si>
    <t xml:space="preserve">202.32.114.229</t>
  </si>
  <si>
    <t xml:space="preserve">194.116.124.8</t>
  </si>
  <si>
    <t xml:space="preserve">40476</t>
  </si>
  <si>
    <t xml:space="preserve">166.72.80.181</t>
  </si>
  <si>
    <t xml:space="preserve">185.27.172.115</t>
  </si>
  <si>
    <t xml:space="preserve">35921</t>
  </si>
  <si>
    <t xml:space="preserve">214.235.105.17</t>
  </si>
  <si>
    <t xml:space="preserve">139.202.45.169</t>
  </si>
  <si>
    <t xml:space="preserve">60589</t>
  </si>
  <si>
    <t xml:space="preserve">200.90.216.114</t>
  </si>
  <si>
    <t xml:space="preserve">206.59.198.179</t>
  </si>
  <si>
    <t xml:space="preserve">29203</t>
  </si>
  <si>
    <t xml:space="preserve">48.181.17.125</t>
  </si>
  <si>
    <t xml:space="preserve">89.183.81.86</t>
  </si>
  <si>
    <t xml:space="preserve">41053</t>
  </si>
  <si>
    <t xml:space="preserve">214.251.66.12</t>
  </si>
  <si>
    <t xml:space="preserve">81.189.112.173</t>
  </si>
  <si>
    <t xml:space="preserve">8040</t>
  </si>
  <si>
    <t xml:space="preserve">211.59.0.230</t>
  </si>
  <si>
    <t xml:space="preserve">124.180.63.154</t>
  </si>
  <si>
    <t xml:space="preserve">38697</t>
  </si>
  <si>
    <t xml:space="preserve">16.178.4.56</t>
  </si>
  <si>
    <t xml:space="preserve">23.69.186.142</t>
  </si>
  <si>
    <t xml:space="preserve">32351</t>
  </si>
  <si>
    <t xml:space="preserve">146.214.17.81</t>
  </si>
  <si>
    <t xml:space="preserve">27.135.128.206</t>
  </si>
  <si>
    <t xml:space="preserve">13474</t>
  </si>
  <si>
    <t xml:space="preserve">56.110.141.22</t>
  </si>
  <si>
    <t xml:space="preserve">207.29.186.8</t>
  </si>
  <si>
    <t xml:space="preserve">60125</t>
  </si>
  <si>
    <t xml:space="preserve">128.204.55.159</t>
  </si>
  <si>
    <t xml:space="preserve">131.111.199.104</t>
  </si>
  <si>
    <t xml:space="preserve">31346</t>
  </si>
  <si>
    <t xml:space="preserve">174.191.81.42</t>
  </si>
  <si>
    <t xml:space="preserve">162.34.43.250</t>
  </si>
  <si>
    <t xml:space="preserve">23417</t>
  </si>
  <si>
    <t xml:space="preserve">153.228.90.47</t>
  </si>
  <si>
    <t xml:space="preserve">142.64.35.209</t>
  </si>
  <si>
    <t xml:space="preserve">10217</t>
  </si>
  <si>
    <t xml:space="preserve">38.86.222.143</t>
  </si>
  <si>
    <t xml:space="preserve">108.144.140.168</t>
  </si>
  <si>
    <t xml:space="preserve">55705</t>
  </si>
  <si>
    <t xml:space="preserve">104.70.150.241</t>
  </si>
  <si>
    <t xml:space="preserve">199.142.189.34</t>
  </si>
  <si>
    <t xml:space="preserve">37152</t>
  </si>
  <si>
    <t xml:space="preserve">193.97.18.128</t>
  </si>
  <si>
    <t xml:space="preserve">201.65.156.49</t>
  </si>
  <si>
    <t xml:space="preserve">13929</t>
  </si>
  <si>
    <t xml:space="preserve">162.218.67.47</t>
  </si>
  <si>
    <t xml:space="preserve">132.70.208.95</t>
  </si>
  <si>
    <t xml:space="preserve">35378</t>
  </si>
  <si>
    <t xml:space="preserve">213.254.58.23</t>
  </si>
  <si>
    <t xml:space="preserve">194.71.234.207</t>
  </si>
  <si>
    <t xml:space="preserve">65183</t>
  </si>
  <si>
    <t xml:space="preserve">27.126.234.54</t>
  </si>
  <si>
    <t xml:space="preserve">153.197.106.147</t>
  </si>
  <si>
    <t xml:space="preserve">20352</t>
  </si>
  <si>
    <t xml:space="preserve">149.235.38.127</t>
  </si>
  <si>
    <t xml:space="preserve">17.55.252.37</t>
  </si>
  <si>
    <t xml:space="preserve">23411</t>
  </si>
  <si>
    <t xml:space="preserve">183.135.82.219</t>
  </si>
  <si>
    <t xml:space="preserve">140.171.245.161</t>
  </si>
  <si>
    <t xml:space="preserve">40448</t>
  </si>
  <si>
    <t xml:space="preserve">98.83.50.31</t>
  </si>
  <si>
    <t xml:space="preserve">196.116.248.51</t>
  </si>
  <si>
    <t xml:space="preserve">46824</t>
  </si>
  <si>
    <t xml:space="preserve">205.127.4.9</t>
  </si>
  <si>
    <t xml:space="preserve">180.220.194.187</t>
  </si>
  <si>
    <t xml:space="preserve">37926</t>
  </si>
  <si>
    <t xml:space="preserve">204.176.52.144</t>
  </si>
  <si>
    <t xml:space="preserve">38.11.253.31</t>
  </si>
  <si>
    <t xml:space="preserve">64185</t>
  </si>
  <si>
    <t xml:space="preserve">164.117.107.24</t>
  </si>
  <si>
    <t xml:space="preserve">143.245.88.106</t>
  </si>
  <si>
    <t xml:space="preserve">38403</t>
  </si>
  <si>
    <t xml:space="preserve">205.146.219.233</t>
  </si>
  <si>
    <t xml:space="preserve">51.95.14.179</t>
  </si>
  <si>
    <t xml:space="preserve">25982</t>
  </si>
  <si>
    <t xml:space="preserve">197.135.250.6</t>
  </si>
  <si>
    <t xml:space="preserve">193.41.154.155</t>
  </si>
  <si>
    <t xml:space="preserve">21732</t>
  </si>
  <si>
    <t xml:space="preserve">218.70.141.204</t>
  </si>
  <si>
    <t xml:space="preserve">212.208.76.187</t>
  </si>
  <si>
    <t xml:space="preserve">51103</t>
  </si>
  <si>
    <t xml:space="preserve">196.107.38.241</t>
  </si>
  <si>
    <t xml:space="preserve">217.236.72.161</t>
  </si>
  <si>
    <t xml:space="preserve">42935</t>
  </si>
  <si>
    <t xml:space="preserve">99.158.149.24</t>
  </si>
  <si>
    <t xml:space="preserve">144.56.122.122</t>
  </si>
  <si>
    <t xml:space="preserve">55488</t>
  </si>
  <si>
    <t xml:space="preserve">211.175.35.234</t>
  </si>
  <si>
    <t xml:space="preserve">171.225.106.139</t>
  </si>
  <si>
    <t xml:space="preserve">21088</t>
  </si>
  <si>
    <t xml:space="preserve">193.36.80.164</t>
  </si>
  <si>
    <t xml:space="preserve">156.108.150.205</t>
  </si>
  <si>
    <t xml:space="preserve">46854</t>
  </si>
  <si>
    <t xml:space="preserve">201.24.37.127</t>
  </si>
  <si>
    <t xml:space="preserve">169.89.37.195</t>
  </si>
  <si>
    <t xml:space="preserve">49923</t>
  </si>
  <si>
    <t xml:space="preserve">178.52.167.143</t>
  </si>
  <si>
    <t xml:space="preserve">222.90.155.35</t>
  </si>
  <si>
    <t xml:space="preserve">35979</t>
  </si>
  <si>
    <t xml:space="preserve">43.80.225.146</t>
  </si>
  <si>
    <t xml:space="preserve">74.78.86.172</t>
  </si>
  <si>
    <t xml:space="preserve">38594</t>
  </si>
  <si>
    <t xml:space="preserve">223.231.81.3</t>
  </si>
  <si>
    <t xml:space="preserve">180.127.47.239</t>
  </si>
  <si>
    <t xml:space="preserve">21456</t>
  </si>
  <si>
    <t xml:space="preserve">96.145.116.14</t>
  </si>
  <si>
    <t xml:space="preserve">150.8.121.88</t>
  </si>
  <si>
    <t xml:space="preserve">26014</t>
  </si>
  <si>
    <t xml:space="preserve">122.158.85.21</t>
  </si>
  <si>
    <t xml:space="preserve">71.65.44.24</t>
  </si>
  <si>
    <t xml:space="preserve">29568</t>
  </si>
  <si>
    <t xml:space="preserve">163.14.205.12</t>
  </si>
  <si>
    <t xml:space="preserve">176.75.90.26</t>
  </si>
  <si>
    <t xml:space="preserve">18130</t>
  </si>
  <si>
    <t xml:space="preserve">221.207.247.202</t>
  </si>
  <si>
    <t xml:space="preserve">215.5.5.24</t>
  </si>
  <si>
    <t xml:space="preserve">6915</t>
  </si>
  <si>
    <t xml:space="preserve">83.99.133.54</t>
  </si>
  <si>
    <t xml:space="preserve">98.169.58.91</t>
  </si>
  <si>
    <t xml:space="preserve">48404</t>
  </si>
  <si>
    <t xml:space="preserve">45.57.27.69</t>
  </si>
  <si>
    <t xml:space="preserve">123.152.24.4</t>
  </si>
  <si>
    <t xml:space="preserve">49582</t>
  </si>
  <si>
    <t xml:space="preserve">160.13.109.89</t>
  </si>
  <si>
    <t xml:space="preserve">206.89.221.138</t>
  </si>
  <si>
    <t xml:space="preserve">23996</t>
  </si>
  <si>
    <t xml:space="preserve">175.231.70.113</t>
  </si>
  <si>
    <t xml:space="preserve">134.206.241.4</t>
  </si>
  <si>
    <t xml:space="preserve">39862</t>
  </si>
  <si>
    <t xml:space="preserve">192.10.64.74</t>
  </si>
  <si>
    <t xml:space="preserve">93.127.78.63</t>
  </si>
  <si>
    <t xml:space="preserve">17688</t>
  </si>
  <si>
    <t xml:space="preserve">196.179.33.234</t>
  </si>
  <si>
    <t xml:space="preserve">134.250.240.253</t>
  </si>
  <si>
    <t xml:space="preserve">18278</t>
  </si>
  <si>
    <t xml:space="preserve">29.201.77.107</t>
  </si>
  <si>
    <t xml:space="preserve">138.135.96.67</t>
  </si>
  <si>
    <t xml:space="preserve">31588</t>
  </si>
  <si>
    <t xml:space="preserve">162.84.209.94</t>
  </si>
  <si>
    <t xml:space="preserve">118.117.70.153</t>
  </si>
  <si>
    <t xml:space="preserve">40040</t>
  </si>
  <si>
    <t xml:space="preserve">140.247.94.16</t>
  </si>
  <si>
    <t xml:space="preserve">218.6.66.58</t>
  </si>
  <si>
    <t xml:space="preserve">60069</t>
  </si>
  <si>
    <t xml:space="preserve">176.112.173.146</t>
  </si>
  <si>
    <t xml:space="preserve">126.63.54.86</t>
  </si>
  <si>
    <t xml:space="preserve">5155</t>
  </si>
  <si>
    <t xml:space="preserve">126.236.155.253</t>
  </si>
  <si>
    <t xml:space="preserve">62.81.173.137</t>
  </si>
  <si>
    <t xml:space="preserve">28654</t>
  </si>
  <si>
    <t xml:space="preserve">23.252.99.169</t>
  </si>
  <si>
    <t xml:space="preserve">181.157.194.6</t>
  </si>
  <si>
    <t xml:space="preserve">7163</t>
  </si>
  <si>
    <t xml:space="preserve">192.160.221.242</t>
  </si>
  <si>
    <t xml:space="preserve">74.45.222.214</t>
  </si>
  <si>
    <t xml:space="preserve">35088</t>
  </si>
  <si>
    <t xml:space="preserve">126.255.211.45</t>
  </si>
  <si>
    <t xml:space="preserve">192.0.154.129</t>
  </si>
  <si>
    <t xml:space="preserve">9800</t>
  </si>
  <si>
    <t xml:space="preserve">149.0.25.195</t>
  </si>
  <si>
    <t xml:space="preserve">42.202.77.61</t>
  </si>
  <si>
    <t xml:space="preserve">58583</t>
  </si>
  <si>
    <t xml:space="preserve">176.92.106.160</t>
  </si>
  <si>
    <t xml:space="preserve">210.149.18.203</t>
  </si>
  <si>
    <t xml:space="preserve">27382</t>
  </si>
  <si>
    <t xml:space="preserve">198.167.108.150</t>
  </si>
  <si>
    <t xml:space="preserve">219.111.79.49</t>
  </si>
  <si>
    <t xml:space="preserve">23034</t>
  </si>
  <si>
    <t xml:space="preserve">214.148.246.206</t>
  </si>
  <si>
    <t xml:space="preserve">158.254.158.187</t>
  </si>
  <si>
    <t xml:space="preserve">33033</t>
  </si>
  <si>
    <t xml:space="preserve">107.163.181.99</t>
  </si>
  <si>
    <t xml:space="preserve">196.86.36.153</t>
  </si>
  <si>
    <t xml:space="preserve">3840</t>
  </si>
  <si>
    <t xml:space="preserve">208.255.40.49</t>
  </si>
  <si>
    <t xml:space="preserve">192.78.5.163</t>
  </si>
  <si>
    <t xml:space="preserve">24576</t>
  </si>
  <si>
    <t xml:space="preserve">193.183.106.92</t>
  </si>
  <si>
    <t xml:space="preserve">195.48.191.34</t>
  </si>
  <si>
    <t xml:space="preserve">43419</t>
  </si>
  <si>
    <t xml:space="preserve">156.43.246.135</t>
  </si>
  <si>
    <t xml:space="preserve">21.121.113.151</t>
  </si>
  <si>
    <t xml:space="preserve">55150</t>
  </si>
  <si>
    <t xml:space="preserve">183.16.219.72</t>
  </si>
  <si>
    <t xml:space="preserve">97.236.125.45</t>
  </si>
  <si>
    <t xml:space="preserve">9742</t>
  </si>
  <si>
    <t xml:space="preserve">215.187.182.248</t>
  </si>
  <si>
    <t xml:space="preserve">142.221.167.65</t>
  </si>
  <si>
    <t xml:space="preserve">25689</t>
  </si>
  <si>
    <t xml:space="preserve">218.125.184.24</t>
  </si>
  <si>
    <t xml:space="preserve">197.14.34.219</t>
  </si>
  <si>
    <t xml:space="preserve">58262</t>
  </si>
  <si>
    <t xml:space="preserve">210.107.159.203</t>
  </si>
  <si>
    <t xml:space="preserve">210.53.251.233</t>
  </si>
  <si>
    <t xml:space="preserve">37722</t>
  </si>
  <si>
    <t xml:space="preserve">154.156.197.188</t>
  </si>
  <si>
    <t xml:space="preserve">101.87.94.126</t>
  </si>
  <si>
    <t xml:space="preserve">47371</t>
  </si>
  <si>
    <t xml:space="preserve">136.91.182.96</t>
  </si>
  <si>
    <t xml:space="preserve">211.30.118.51</t>
  </si>
  <si>
    <t xml:space="preserve">8445</t>
  </si>
  <si>
    <t xml:space="preserve">92.100.8.18</t>
  </si>
  <si>
    <t xml:space="preserve">109.229.122.21</t>
  </si>
  <si>
    <t xml:space="preserve">41150</t>
  </si>
  <si>
    <t xml:space="preserve">211.247.205.128</t>
  </si>
  <si>
    <t xml:space="preserve">202.195.137.164</t>
  </si>
  <si>
    <t xml:space="preserve">19979</t>
  </si>
  <si>
    <t xml:space="preserve">16.8.249.179</t>
  </si>
  <si>
    <t xml:space="preserve">176.11.20.14</t>
  </si>
  <si>
    <t xml:space="preserve">11996</t>
  </si>
  <si>
    <t xml:space="preserve">210.72.160.215</t>
  </si>
  <si>
    <t xml:space="preserve">133.46.194.98</t>
  </si>
  <si>
    <t xml:space="preserve">23339</t>
  </si>
  <si>
    <t xml:space="preserve">216.116.70.11</t>
  </si>
  <si>
    <t xml:space="preserve">175.57.177.74</t>
  </si>
  <si>
    <t xml:space="preserve">52725</t>
  </si>
  <si>
    <t xml:space="preserve">45.188.11.136</t>
  </si>
  <si>
    <t xml:space="preserve">24.83.39.231</t>
  </si>
  <si>
    <t xml:space="preserve">64179</t>
  </si>
  <si>
    <t xml:space="preserve">154.3.207.67</t>
  </si>
  <si>
    <t xml:space="preserve">149.29.67.20</t>
  </si>
  <si>
    <t xml:space="preserve">3915</t>
  </si>
  <si>
    <t xml:space="preserve">104.69.188.89</t>
  </si>
  <si>
    <t xml:space="preserve">169.94.133.51</t>
  </si>
  <si>
    <t xml:space="preserve">62929</t>
  </si>
  <si>
    <t xml:space="preserve">59.27.215.112</t>
  </si>
  <si>
    <t xml:space="preserve">80.225.45.248</t>
  </si>
  <si>
    <t xml:space="preserve">63139</t>
  </si>
  <si>
    <t xml:space="preserve">156.39.40.220</t>
  </si>
  <si>
    <t xml:space="preserve">210.181.166.204</t>
  </si>
  <si>
    <t xml:space="preserve">19412</t>
  </si>
  <si>
    <t xml:space="preserve">197.132.48.142</t>
  </si>
  <si>
    <t xml:space="preserve">22.54.145.251</t>
  </si>
  <si>
    <t xml:space="preserve">49774</t>
  </si>
  <si>
    <t xml:space="preserve">135.17.182.182</t>
  </si>
  <si>
    <t xml:space="preserve">139.135.112.124</t>
  </si>
  <si>
    <t xml:space="preserve">12031</t>
  </si>
  <si>
    <t xml:space="preserve">80.192.82.217</t>
  </si>
  <si>
    <t xml:space="preserve">76.39.250.19</t>
  </si>
  <si>
    <t xml:space="preserve">56921</t>
  </si>
  <si>
    <t xml:space="preserve">78.215.134.149</t>
  </si>
  <si>
    <t xml:space="preserve">31.185.104.246</t>
  </si>
  <si>
    <t xml:space="preserve">27368</t>
  </si>
  <si>
    <t xml:space="preserve">221.122.107.248</t>
  </si>
  <si>
    <t xml:space="preserve">82.156.44.93</t>
  </si>
  <si>
    <t xml:space="preserve">46721</t>
  </si>
  <si>
    <t xml:space="preserve">72.134.186.237</t>
  </si>
  <si>
    <t xml:space="preserve">148.18.254.24</t>
  </si>
  <si>
    <t xml:space="preserve">32819</t>
  </si>
  <si>
    <t xml:space="preserve">166.209.25.226</t>
  </si>
  <si>
    <t xml:space="preserve">8.172.22.232</t>
  </si>
  <si>
    <t xml:space="preserve">49718</t>
  </si>
  <si>
    <t xml:space="preserve">29.219.129.43</t>
  </si>
  <si>
    <t xml:space="preserve">76.156.96.42</t>
  </si>
  <si>
    <t xml:space="preserve">43449</t>
  </si>
  <si>
    <t xml:space="preserve">135.141.38.101</t>
  </si>
  <si>
    <t xml:space="preserve">169.242.202.164</t>
  </si>
  <si>
    <t xml:space="preserve">22833</t>
  </si>
  <si>
    <t xml:space="preserve">129.39.102.104</t>
  </si>
  <si>
    <t xml:space="preserve">8.94.13.213</t>
  </si>
  <si>
    <t xml:space="preserve">46665</t>
  </si>
  <si>
    <t xml:space="preserve">156.160.171.15</t>
  </si>
  <si>
    <t xml:space="preserve">212.196.76.74</t>
  </si>
  <si>
    <t xml:space="preserve">39310</t>
  </si>
  <si>
    <t xml:space="preserve">222.82.133.137</t>
  </si>
  <si>
    <t xml:space="preserve">179.213.239.231</t>
  </si>
  <si>
    <t xml:space="preserve">5175</t>
  </si>
  <si>
    <t xml:space="preserve">160.248.196.5</t>
  </si>
  <si>
    <t xml:space="preserve">198.154.135.213</t>
  </si>
  <si>
    <t xml:space="preserve">56366</t>
  </si>
  <si>
    <t xml:space="preserve">82.41.204.81</t>
  </si>
  <si>
    <t xml:space="preserve">2.208.65.164</t>
  </si>
  <si>
    <t xml:space="preserve">60519</t>
  </si>
  <si>
    <t xml:space="preserve">25.112.90.196</t>
  </si>
  <si>
    <t xml:space="preserve">169.93.182.72</t>
  </si>
  <si>
    <t xml:space="preserve">59166</t>
  </si>
  <si>
    <t xml:space="preserve">78.57.173.57</t>
  </si>
  <si>
    <t xml:space="preserve">164.214.7.122</t>
  </si>
  <si>
    <t xml:space="preserve">53967</t>
  </si>
  <si>
    <t xml:space="preserve">212.111.69.174</t>
  </si>
  <si>
    <t xml:space="preserve">36.20.116.93</t>
  </si>
  <si>
    <t xml:space="preserve">15733</t>
  </si>
  <si>
    <t xml:space="preserve">212.218.213.154</t>
  </si>
  <si>
    <t xml:space="preserve">209.86.153.58</t>
  </si>
  <si>
    <t xml:space="preserve">7451</t>
  </si>
  <si>
    <t xml:space="preserve">158.254.9.84</t>
  </si>
  <si>
    <t xml:space="preserve">221.69.246.227</t>
  </si>
  <si>
    <t xml:space="preserve">13635</t>
  </si>
  <si>
    <t xml:space="preserve">214.172.221.176</t>
  </si>
  <si>
    <t xml:space="preserve">5.9.172.195</t>
  </si>
  <si>
    <t xml:space="preserve">42046</t>
  </si>
  <si>
    <t xml:space="preserve">209.169.167.99</t>
  </si>
  <si>
    <t xml:space="preserve">206.218.54.195</t>
  </si>
  <si>
    <t xml:space="preserve">52116</t>
  </si>
  <si>
    <t xml:space="preserve">198.186.113.224</t>
  </si>
  <si>
    <t xml:space="preserve">178.233.78.7</t>
  </si>
  <si>
    <t xml:space="preserve">53284</t>
  </si>
  <si>
    <t xml:space="preserve">218.24.91.101</t>
  </si>
  <si>
    <t xml:space="preserve">202.201.148.211</t>
  </si>
  <si>
    <t xml:space="preserve">52827</t>
  </si>
  <si>
    <t xml:space="preserve">177.12.10.119</t>
  </si>
  <si>
    <t xml:space="preserve">188.90.166.121</t>
  </si>
  <si>
    <t xml:space="preserve">56254</t>
  </si>
  <si>
    <t xml:space="preserve">181.105.71.103</t>
  </si>
  <si>
    <t xml:space="preserve">96.191.118.157</t>
  </si>
  <si>
    <t xml:space="preserve">34666</t>
  </si>
  <si>
    <t xml:space="preserve">223.29.31.224</t>
  </si>
  <si>
    <t xml:space="preserve">169.108.234.42</t>
  </si>
  <si>
    <t xml:space="preserve">28485</t>
  </si>
  <si>
    <t xml:space="preserve">216.167.152.180</t>
  </si>
  <si>
    <t xml:space="preserve">198.113.225.69</t>
  </si>
  <si>
    <t xml:space="preserve">30078</t>
  </si>
  <si>
    <t xml:space="preserve">88.239.163.242</t>
  </si>
  <si>
    <t xml:space="preserve">201.135.165.158</t>
  </si>
  <si>
    <t xml:space="preserve">2530</t>
  </si>
  <si>
    <t xml:space="preserve">33.139.136.48</t>
  </si>
  <si>
    <t xml:space="preserve">24.232.198.232</t>
  </si>
  <si>
    <t xml:space="preserve">32437</t>
  </si>
  <si>
    <t xml:space="preserve">215.171.147.136</t>
  </si>
  <si>
    <t xml:space="preserve">52.69.23.130</t>
  </si>
  <si>
    <t xml:space="preserve">64826</t>
  </si>
  <si>
    <t xml:space="preserve">203.193.239.42</t>
  </si>
  <si>
    <t xml:space="preserve">140.235.78.213</t>
  </si>
  <si>
    <t xml:space="preserve">23163</t>
  </si>
  <si>
    <t xml:space="preserve">26.197.168.103</t>
  </si>
  <si>
    <t xml:space="preserve">199.83.205.134</t>
  </si>
  <si>
    <t xml:space="preserve">64675</t>
  </si>
  <si>
    <t xml:space="preserve">136.240.24.32</t>
  </si>
  <si>
    <t xml:space="preserve">148.143.193.206</t>
  </si>
  <si>
    <t xml:space="preserve">38019</t>
  </si>
  <si>
    <t xml:space="preserve">223.231.141.23</t>
  </si>
  <si>
    <t xml:space="preserve">207.20.119.112</t>
  </si>
  <si>
    <t xml:space="preserve">12041</t>
  </si>
  <si>
    <t xml:space="preserve">206.144.196.69</t>
  </si>
  <si>
    <t xml:space="preserve">223.191.255.196</t>
  </si>
  <si>
    <t xml:space="preserve">30246</t>
  </si>
  <si>
    <t xml:space="preserve">212.7.221.69</t>
  </si>
  <si>
    <t xml:space="preserve">150.250.69.145</t>
  </si>
  <si>
    <t xml:space="preserve">58739</t>
  </si>
  <si>
    <t xml:space="preserve">219.102.242.182</t>
  </si>
  <si>
    <t xml:space="preserve">133.140.168.251</t>
  </si>
  <si>
    <t xml:space="preserve">37337</t>
  </si>
  <si>
    <t xml:space="preserve">134.35.9.224</t>
  </si>
  <si>
    <t xml:space="preserve">219.248.153.75</t>
  </si>
  <si>
    <t xml:space="preserve">54869</t>
  </si>
  <si>
    <t xml:space="preserve">202.140.123.134</t>
  </si>
  <si>
    <t xml:space="preserve">115.16.192.69</t>
  </si>
  <si>
    <t xml:space="preserve">18669</t>
  </si>
  <si>
    <t xml:space="preserve">194.88.103.180</t>
  </si>
  <si>
    <t xml:space="preserve">219.238.35.196</t>
  </si>
  <si>
    <t xml:space="preserve">37746</t>
  </si>
  <si>
    <t xml:space="preserve">28.152.75.111</t>
  </si>
  <si>
    <t xml:space="preserve">216.165.227.26</t>
  </si>
  <si>
    <t xml:space="preserve">45302</t>
  </si>
  <si>
    <t xml:space="preserve">107.226.144.243</t>
  </si>
  <si>
    <t xml:space="preserve">219.238.36.30</t>
  </si>
  <si>
    <t xml:space="preserve">56870</t>
  </si>
  <si>
    <t xml:space="preserve">138.126.226.154</t>
  </si>
  <si>
    <t xml:space="preserve">203.179.155.26</t>
  </si>
  <si>
    <t xml:space="preserve">3248</t>
  </si>
  <si>
    <t xml:space="preserve">178.170.167.214</t>
  </si>
  <si>
    <t xml:space="preserve">157.196.136.74</t>
  </si>
  <si>
    <t xml:space="preserve">63243</t>
  </si>
  <si>
    <t xml:space="preserve">218.69.153.234</t>
  </si>
  <si>
    <t xml:space="preserve">102.193.119.97</t>
  </si>
  <si>
    <t xml:space="preserve">29866</t>
  </si>
  <si>
    <t xml:space="preserve">219.84.173.235</t>
  </si>
  <si>
    <t xml:space="preserve">7.90.95.54</t>
  </si>
  <si>
    <t xml:space="preserve">698</t>
  </si>
  <si>
    <t xml:space="preserve">216.4.89.91</t>
  </si>
  <si>
    <t xml:space="preserve">208.212.55.31</t>
  </si>
  <si>
    <t xml:space="preserve">52622</t>
  </si>
  <si>
    <t xml:space="preserve">216.254.167.41</t>
  </si>
  <si>
    <t xml:space="preserve">171.233.68.6</t>
  </si>
  <si>
    <t xml:space="preserve">32379</t>
  </si>
  <si>
    <t xml:space="preserve">66.122.79.55</t>
  </si>
  <si>
    <t xml:space="preserve">216.116.176.41</t>
  </si>
  <si>
    <t xml:space="preserve">34248</t>
  </si>
  <si>
    <t xml:space="preserve">195.6.18.107</t>
  </si>
  <si>
    <t xml:space="preserve">30.53.25.79</t>
  </si>
  <si>
    <t xml:space="preserve">904</t>
  </si>
  <si>
    <t xml:space="preserve">34.179.220.136</t>
  </si>
  <si>
    <t xml:space="preserve">163.237.115.117</t>
  </si>
  <si>
    <t xml:space="preserve">26579</t>
  </si>
  <si>
    <t xml:space="preserve">99.119.212.59</t>
  </si>
  <si>
    <t xml:space="preserve">204.140.166.136</t>
  </si>
  <si>
    <t xml:space="preserve">131.197.240.77</t>
  </si>
  <si>
    <t xml:space="preserve">81.66.99.52</t>
  </si>
  <si>
    <t xml:space="preserve">37853</t>
  </si>
  <si>
    <t xml:space="preserve">163.241.195.23</t>
  </si>
  <si>
    <t xml:space="preserve">143.11.81.7</t>
  </si>
  <si>
    <t xml:space="preserve">11724</t>
  </si>
  <si>
    <t xml:space="preserve">193.160.188.17</t>
  </si>
  <si>
    <t xml:space="preserve">132.95.71.197</t>
  </si>
  <si>
    <t xml:space="preserve">22279</t>
  </si>
  <si>
    <t xml:space="preserve">56.181.248.0</t>
  </si>
  <si>
    <t xml:space="preserve">194.53.220.195</t>
  </si>
  <si>
    <t xml:space="preserve">60973</t>
  </si>
  <si>
    <t xml:space="preserve">200.228.154.27</t>
  </si>
  <si>
    <t xml:space="preserve">118.147.103.121</t>
  </si>
  <si>
    <t xml:space="preserve">54747</t>
  </si>
  <si>
    <t xml:space="preserve">203.240.116.158</t>
  </si>
  <si>
    <t xml:space="preserve">209.151.241.167</t>
  </si>
  <si>
    <t xml:space="preserve">15495</t>
  </si>
  <si>
    <t xml:space="preserve">199.203.170.81</t>
  </si>
  <si>
    <t xml:space="preserve">179.236.40.164</t>
  </si>
  <si>
    <t xml:space="preserve">52544</t>
  </si>
  <si>
    <t xml:space="preserve">223.174.217.144</t>
  </si>
  <si>
    <t xml:space="preserve">156.45.7.47</t>
  </si>
  <si>
    <t xml:space="preserve">19123</t>
  </si>
  <si>
    <t xml:space="preserve">110.182.226.90</t>
  </si>
  <si>
    <t xml:space="preserve">120.180.113.178</t>
  </si>
  <si>
    <t xml:space="preserve">27555</t>
  </si>
  <si>
    <t xml:space="preserve">120.43.9.80</t>
  </si>
  <si>
    <t xml:space="preserve">74.141.19.201</t>
  </si>
  <si>
    <t xml:space="preserve">30194</t>
  </si>
  <si>
    <t xml:space="preserve">197.158.164.26</t>
  </si>
  <si>
    <t xml:space="preserve">198.54.119.236</t>
  </si>
  <si>
    <t xml:space="preserve">48679</t>
  </si>
  <si>
    <t xml:space="preserve">183.144.58.157</t>
  </si>
  <si>
    <t xml:space="preserve">184.179.248.73</t>
  </si>
  <si>
    <t xml:space="preserve">36340</t>
  </si>
  <si>
    <t xml:space="preserve">214.57.37.97</t>
  </si>
  <si>
    <t xml:space="preserve">207.10.68.89</t>
  </si>
  <si>
    <t xml:space="preserve">41142</t>
  </si>
  <si>
    <t xml:space="preserve">218.189.140.29</t>
  </si>
  <si>
    <t xml:space="preserve">24.140.49.247</t>
  </si>
  <si>
    <t xml:space="preserve">11348</t>
  </si>
  <si>
    <t xml:space="preserve">59.118.223.179</t>
  </si>
  <si>
    <t xml:space="preserve">141.254.181.12</t>
  </si>
  <si>
    <t xml:space="preserve">10011</t>
  </si>
  <si>
    <t xml:space="preserve">181.28.133.82</t>
  </si>
  <si>
    <t xml:space="preserve">137.181.15.22</t>
  </si>
  <si>
    <t xml:space="preserve">17108</t>
  </si>
  <si>
    <t xml:space="preserve">217.66.145.151</t>
  </si>
  <si>
    <t xml:space="preserve">125.59.206.158</t>
  </si>
  <si>
    <t xml:space="preserve">40165</t>
  </si>
  <si>
    <t xml:space="preserve">- all -</t>
  </si>
  <si>
    <t xml:space="preserve">Count - Source IP</t>
  </si>
  <si>
    <t xml:space="preserve">Total Result</t>
  </si>
  <si>
    <t xml:space="preserve">2024-07-26</t>
  </si>
  <si>
    <t xml:space="preserve">2024-07-27</t>
  </si>
  <si>
    <t xml:space="preserve">Hostname</t>
  </si>
  <si>
    <t xml:space="preserve">IP Address</t>
  </si>
  <si>
    <t xml:space="preserve">Vulnerability ID</t>
  </si>
  <si>
    <t xml:space="preserve">Severity</t>
  </si>
  <si>
    <t xml:space="preserve">Operating System</t>
  </si>
  <si>
    <t xml:space="preserve">Threat Status</t>
  </si>
  <si>
    <t xml:space="preserve">lt-01.ross.com</t>
  </si>
  <si>
    <t xml:space="preserve">1.179.180.145</t>
  </si>
  <si>
    <t xml:space="preserve">CVE-2024-9968</t>
  </si>
  <si>
    <t xml:space="preserve">Windows 10</t>
  </si>
  <si>
    <t xml:space="preserve">web-49.melton-garcia.net</t>
  </si>
  <si>
    <t xml:space="preserve">1.94.94.193</t>
  </si>
  <si>
    <t xml:space="preserve">CVE-2020-2559</t>
  </si>
  <si>
    <t xml:space="preserve">Linux</t>
  </si>
  <si>
    <t xml:space="preserve"># of SEVERE Vulnerabilities</t>
  </si>
  <si>
    <t xml:space="preserve"># of Hosts</t>
  </si>
  <si>
    <t xml:space="preserve">Percentage</t>
  </si>
  <si>
    <t xml:space="preserve">Sparklines</t>
  </si>
  <si>
    <t xml:space="preserve">desktop-12.cook.org</t>
  </si>
  <si>
    <t xml:space="preserve">101.236.106.138</t>
  </si>
  <si>
    <t xml:space="preserve">CVE-2023-2563</t>
  </si>
  <si>
    <t xml:space="preserve">Windows 11</t>
  </si>
  <si>
    <t xml:space="preserve">laptop-56.middleton-yang.com</t>
  </si>
  <si>
    <t xml:space="preserve">102.37.1.36</t>
  </si>
  <si>
    <t xml:space="preserve">CVE-2022-5568</t>
  </si>
  <si>
    <t xml:space="preserve">laptop-94.adams-flores.net</t>
  </si>
  <si>
    <t xml:space="preserve">105.241.33.86</t>
  </si>
  <si>
    <t xml:space="preserve">CVE-2022-7609</t>
  </si>
  <si>
    <t xml:space="preserve">web-04.santos-francis.info</t>
  </si>
  <si>
    <t xml:space="preserve">106.193.20.41</t>
  </si>
  <si>
    <t xml:space="preserve">CVE-2023-4164</t>
  </si>
  <si>
    <t xml:space="preserve">Windows Server 2022</t>
  </si>
  <si>
    <t xml:space="preserve">Windows Server 2019</t>
  </si>
  <si>
    <t xml:space="preserve">web-22.patton-rojas.org</t>
  </si>
  <si>
    <t xml:space="preserve">106.244.158.138</t>
  </si>
  <si>
    <t xml:space="preserve">CVE-2022-3672</t>
  </si>
  <si>
    <t xml:space="preserve">srv-57.tucker-lee.com</t>
  </si>
  <si>
    <t xml:space="preserve">106.40.232.124</t>
  </si>
  <si>
    <t xml:space="preserve">CVE-2020-8421</t>
  </si>
  <si>
    <t xml:space="preserve">srv-30.lester.org</t>
  </si>
  <si>
    <t xml:space="preserve">109.73.7.236</t>
  </si>
  <si>
    <t xml:space="preserve">CVE-2021-6607</t>
  </si>
  <si>
    <t xml:space="preserve">Totals</t>
  </si>
  <si>
    <t xml:space="preserve">srv-44.hernandez.org</t>
  </si>
  <si>
    <t xml:space="preserve">11.85.38.159</t>
  </si>
  <si>
    <t xml:space="preserve">CVE-2020-9830</t>
  </si>
  <si>
    <t xml:space="preserve">web-54.bowman-bailey.com</t>
  </si>
  <si>
    <t xml:space="preserve">111.99.52.157</t>
  </si>
  <si>
    <t xml:space="preserve">CVE-2023-2814</t>
  </si>
  <si>
    <t xml:space="preserve">Vulnerable Threat Intelligence Status</t>
  </si>
  <si>
    <t xml:space="preserve">email-51.castillo-morgan.com</t>
  </si>
  <si>
    <t xml:space="preserve">113.145.148.194</t>
  </si>
  <si>
    <t xml:space="preserve">CVE-2020-6865</t>
  </si>
  <si>
    <t xml:space="preserve">Not Exploited</t>
  </si>
  <si>
    <t xml:space="preserve">web-55.wagner.com</t>
  </si>
  <si>
    <t xml:space="preserve">113.69.22.117</t>
  </si>
  <si>
    <t xml:space="preserve">CVE-2023-5726</t>
  </si>
  <si>
    <t xml:space="preserve">Exploited</t>
  </si>
  <si>
    <t xml:space="preserve">db-92.mitchell.com</t>
  </si>
  <si>
    <t xml:space="preserve">114.0.172.203</t>
  </si>
  <si>
    <t xml:space="preserve">CVE-2021-8519</t>
  </si>
  <si>
    <t xml:space="preserve">web-47.nichols.info</t>
  </si>
  <si>
    <t xml:space="preserve">114.250.115.196</t>
  </si>
  <si>
    <t xml:space="preserve">CVE-2024-3478</t>
  </si>
  <si>
    <t xml:space="preserve">srv-45.scott.com</t>
  </si>
  <si>
    <t xml:space="preserve">115.62.189.109</t>
  </si>
  <si>
    <t xml:space="preserve">CVE-2020-9234</t>
  </si>
  <si>
    <t xml:space="preserve">lt-39.miller-gregory.info</t>
  </si>
  <si>
    <t xml:space="preserve">116.129.7.198</t>
  </si>
  <si>
    <t xml:space="preserve">CVE-2021-7940</t>
  </si>
  <si>
    <t xml:space="preserve">email-31.cohen-williams.com</t>
  </si>
  <si>
    <t xml:space="preserve">116.243.6.48</t>
  </si>
  <si>
    <t xml:space="preserve">CVE-2024-8913</t>
  </si>
  <si>
    <t xml:space="preserve">desktop-91.stout.com</t>
  </si>
  <si>
    <t xml:space="preserve">116.83.104.232</t>
  </si>
  <si>
    <t xml:space="preserve">CVE-2023-8579</t>
  </si>
  <si>
    <t xml:space="preserve">lt-21.ross-jacobs.com</t>
  </si>
  <si>
    <t xml:space="preserve">119.147.116.10</t>
  </si>
  <si>
    <t xml:space="preserve">CVE-2023-1438</t>
  </si>
  <si>
    <t xml:space="preserve">laptop-65.knight-thompson.net</t>
  </si>
  <si>
    <t xml:space="preserve">119.54.188.36</t>
  </si>
  <si>
    <t xml:space="preserve">CVE-2022-5383</t>
  </si>
  <si>
    <t xml:space="preserve">srv-03.brooks.com</t>
  </si>
  <si>
    <t xml:space="preserve">12.98.189.254</t>
  </si>
  <si>
    <t xml:space="preserve">CVE-2021-5738</t>
  </si>
  <si>
    <t xml:space="preserve">srv-47.rodriguez.com</t>
  </si>
  <si>
    <t xml:space="preserve">120.162.47.130</t>
  </si>
  <si>
    <t xml:space="preserve">CVE-2024-4913</t>
  </si>
  <si>
    <t xml:space="preserve">srv-27.gutierrez.org</t>
  </si>
  <si>
    <t xml:space="preserve">122.148.172.34</t>
  </si>
  <si>
    <t xml:space="preserve">CVE-2021-9470</t>
  </si>
  <si>
    <t xml:space="preserve">laptop-11.boyle-hull.com</t>
  </si>
  <si>
    <t xml:space="preserve">122.192.210.204</t>
  </si>
  <si>
    <t xml:space="preserve">CVE-2020-3762</t>
  </si>
  <si>
    <t xml:space="preserve">web-77.gordon-anderson.com</t>
  </si>
  <si>
    <t xml:space="preserve">124.129.131.11</t>
  </si>
  <si>
    <t xml:space="preserve">CVE-2021-4479</t>
  </si>
  <si>
    <t xml:space="preserve">srv-17.hill.info</t>
  </si>
  <si>
    <t xml:space="preserve">125.157.95.119</t>
  </si>
  <si>
    <t xml:space="preserve">CVE-2021-6567</t>
  </si>
  <si>
    <t xml:space="preserve">lt-07.williams-simmons.com</t>
  </si>
  <si>
    <t xml:space="preserve">125.178.134.61</t>
  </si>
  <si>
    <t xml:space="preserve">CVE-2022-3274</t>
  </si>
  <si>
    <t xml:space="preserve">lt-04.strong-ross.com</t>
  </si>
  <si>
    <t xml:space="preserve">125.181.211.232</t>
  </si>
  <si>
    <t xml:space="preserve">CVE-2022-4633</t>
  </si>
  <si>
    <t xml:space="preserve">laptop-42.martin-cook.com</t>
  </si>
  <si>
    <t xml:space="preserve">126.224.70.42</t>
  </si>
  <si>
    <t xml:space="preserve">CVE-2024-3410</t>
  </si>
  <si>
    <t xml:space="preserve">email-27.marsh.com</t>
  </si>
  <si>
    <t xml:space="preserve">128.232.245.39</t>
  </si>
  <si>
    <t xml:space="preserve">CVE-2020-2460</t>
  </si>
  <si>
    <t xml:space="preserve">email-23.ray.com</t>
  </si>
  <si>
    <t xml:space="preserve">129.236.50.184</t>
  </si>
  <si>
    <t xml:space="preserve">CVE-2020-8117</t>
  </si>
  <si>
    <t xml:space="preserve">web-73.johnson.com</t>
  </si>
  <si>
    <t xml:space="preserve">129.243.88.246</t>
  </si>
  <si>
    <t xml:space="preserve">CVE-2024-9701</t>
  </si>
  <si>
    <t xml:space="preserve">db-51.peterson-williams.info</t>
  </si>
  <si>
    <t xml:space="preserve">130.209.131.62</t>
  </si>
  <si>
    <t xml:space="preserve">CVE-2022-7797</t>
  </si>
  <si>
    <t xml:space="preserve">db-92.anderson.com</t>
  </si>
  <si>
    <t xml:space="preserve">130.67.63.179</t>
  </si>
  <si>
    <t xml:space="preserve">CVE-2021-7932</t>
  </si>
  <si>
    <t xml:space="preserve">srv-87.case-norton.com</t>
  </si>
  <si>
    <t xml:space="preserve">130.77.35.57</t>
  </si>
  <si>
    <t xml:space="preserve">CVE-2022-7034</t>
  </si>
  <si>
    <t xml:space="preserve">laptop-45.jimenez.com</t>
  </si>
  <si>
    <t xml:space="preserve">131.173.33.252</t>
  </si>
  <si>
    <t xml:space="preserve">CVE-2020-6194</t>
  </si>
  <si>
    <t xml:space="preserve">srv-70.bradford.net</t>
  </si>
  <si>
    <t xml:space="preserve">131.234.181.252</t>
  </si>
  <si>
    <t xml:space="preserve">CVE-2022-8037</t>
  </si>
  <si>
    <t xml:space="preserve">web-11.ramirez.com</t>
  </si>
  <si>
    <t xml:space="preserve">131.72.176.47</t>
  </si>
  <si>
    <t xml:space="preserve">CVE-2021-6334</t>
  </si>
  <si>
    <t xml:space="preserve">db-38.turner.info</t>
  </si>
  <si>
    <t xml:space="preserve">132.127.100.43</t>
  </si>
  <si>
    <t xml:space="preserve">CVE-2022-1981</t>
  </si>
  <si>
    <t xml:space="preserve">srv-27.cohen-martinez.org</t>
  </si>
  <si>
    <t xml:space="preserve">132.247.142.37</t>
  </si>
  <si>
    <t xml:space="preserve">CVE-2024-6122</t>
  </si>
  <si>
    <t xml:space="preserve">db-43.johnson.biz</t>
  </si>
  <si>
    <t xml:space="preserve">133.60.103.85</t>
  </si>
  <si>
    <t xml:space="preserve">CVE-2024-9070</t>
  </si>
  <si>
    <t xml:space="preserve">lt-03.wilson-hansen.biz</t>
  </si>
  <si>
    <t xml:space="preserve">135.164.44.41</t>
  </si>
  <si>
    <t xml:space="preserve">CVE-2022-2778</t>
  </si>
  <si>
    <t xml:space="preserve">web-58.williams-conner.net</t>
  </si>
  <si>
    <t xml:space="preserve">135.66.17.187</t>
  </si>
  <si>
    <t xml:space="preserve">CVE-2022-3918</t>
  </si>
  <si>
    <t xml:space="preserve">laptop-02.yoder-wiggins.com</t>
  </si>
  <si>
    <t xml:space="preserve">136.111.101.27</t>
  </si>
  <si>
    <t xml:space="preserve">CVE-2024-2517</t>
  </si>
  <si>
    <t xml:space="preserve">email-72.sawyer.com</t>
  </si>
  <si>
    <t xml:space="preserve">136.113.9.83</t>
  </si>
  <si>
    <t xml:space="preserve">CVE-2023-2116</t>
  </si>
  <si>
    <t xml:space="preserve">srv-69.wilson.net</t>
  </si>
  <si>
    <t xml:space="preserve">136.126.49.237</t>
  </si>
  <si>
    <t xml:space="preserve">CVE-2023-2110</t>
  </si>
  <si>
    <t xml:space="preserve">db-86.cook.com</t>
  </si>
  <si>
    <t xml:space="preserve">138.86.168.243</t>
  </si>
  <si>
    <t xml:space="preserve">CVE-2021-8937</t>
  </si>
  <si>
    <t xml:space="preserve">db-46.murphy.org</t>
  </si>
  <si>
    <t xml:space="preserve">14.227.114.93</t>
  </si>
  <si>
    <t xml:space="preserve">CVE-2024-8906</t>
  </si>
  <si>
    <t xml:space="preserve">laptop-49.walker-phillips.org</t>
  </si>
  <si>
    <t xml:space="preserve">14.89.156.47</t>
  </si>
  <si>
    <t xml:space="preserve">CVE-2021-7011</t>
  </si>
  <si>
    <t xml:space="preserve">lt-49.travis.com</t>
  </si>
  <si>
    <t xml:space="preserve">140.87.71.122</t>
  </si>
  <si>
    <t xml:space="preserve">CVE-2024-8591</t>
  </si>
  <si>
    <t xml:space="preserve">laptop-67.wilkinson.com</t>
  </si>
  <si>
    <t xml:space="preserve">142.74.101.114</t>
  </si>
  <si>
    <t xml:space="preserve">CVE-2023-5381</t>
  </si>
  <si>
    <t xml:space="preserve">email-37.torres-parker.com</t>
  </si>
  <si>
    <t xml:space="preserve">143.103.24.130</t>
  </si>
  <si>
    <t xml:space="preserve">CVE-2021-1343</t>
  </si>
  <si>
    <t xml:space="preserve">desktop-85.cox.com</t>
  </si>
  <si>
    <t xml:space="preserve">143.54.132.72</t>
  </si>
  <si>
    <t xml:space="preserve">CVE-2024-5795</t>
  </si>
  <si>
    <t xml:space="preserve">desktop-20.perez.com</t>
  </si>
  <si>
    <t xml:space="preserve">143.90.3.236</t>
  </si>
  <si>
    <t xml:space="preserve">CVE-2023-7913</t>
  </si>
  <si>
    <t xml:space="preserve">lt-75.payne.biz</t>
  </si>
  <si>
    <t xml:space="preserve">146.152.10.89</t>
  </si>
  <si>
    <t xml:space="preserve">CVE-2020-5104</t>
  </si>
  <si>
    <t xml:space="preserve">web-46.powell-mann.com</t>
  </si>
  <si>
    <t xml:space="preserve">146.175.157.77</t>
  </si>
  <si>
    <t xml:space="preserve">CVE-2020-7769</t>
  </si>
  <si>
    <t xml:space="preserve">db-46.smith.org</t>
  </si>
  <si>
    <t xml:space="preserve">146.244.154.182</t>
  </si>
  <si>
    <t xml:space="preserve">CVE-2020-9308</t>
  </si>
  <si>
    <t xml:space="preserve">web-52.mendez.com</t>
  </si>
  <si>
    <t xml:space="preserve">147.203.172.189</t>
  </si>
  <si>
    <t xml:space="preserve">CVE-2021-8154</t>
  </si>
  <si>
    <t xml:space="preserve">db-41.dominguez.com</t>
  </si>
  <si>
    <t xml:space="preserve">147.225.138.19</t>
  </si>
  <si>
    <t xml:space="preserve">CVE-2024-5495</t>
  </si>
  <si>
    <t xml:space="preserve">laptop-91.patel-montoya.com</t>
  </si>
  <si>
    <t xml:space="preserve">148.5.75.18</t>
  </si>
  <si>
    <t xml:space="preserve">CVE-2023-8921</t>
  </si>
  <si>
    <t xml:space="preserve">email-48.long-blair.net</t>
  </si>
  <si>
    <t xml:space="preserve">148.92.43.237</t>
  </si>
  <si>
    <t xml:space="preserve">CVE-2021-4014</t>
  </si>
  <si>
    <t xml:space="preserve">laptop-45.rivas-pearson.biz</t>
  </si>
  <si>
    <t xml:space="preserve">149.226.144.120</t>
  </si>
  <si>
    <t xml:space="preserve">CVE-2022-3987</t>
  </si>
  <si>
    <t xml:space="preserve">email-65.lindsey-moore.biz</t>
  </si>
  <si>
    <t xml:space="preserve">150.107.218.213</t>
  </si>
  <si>
    <t xml:space="preserve">CVE-2020-9388</t>
  </si>
  <si>
    <t xml:space="preserve">web-01.ryan.com</t>
  </si>
  <si>
    <t xml:space="preserve">151.129.155.242</t>
  </si>
  <si>
    <t xml:space="preserve">CVE-2021-4289</t>
  </si>
  <si>
    <t xml:space="preserve">laptop-84.luna.com</t>
  </si>
  <si>
    <t xml:space="preserve">151.241.134.255</t>
  </si>
  <si>
    <t xml:space="preserve">CVE-2022-7020</t>
  </si>
  <si>
    <t xml:space="preserve">lt-22.armstrong-mullen.org</t>
  </si>
  <si>
    <t xml:space="preserve">152.126.104.40</t>
  </si>
  <si>
    <t xml:space="preserve">CVE-2023-4899</t>
  </si>
  <si>
    <t xml:space="preserve">web-77.esparza.info</t>
  </si>
  <si>
    <t xml:space="preserve">152.51.242.4</t>
  </si>
  <si>
    <t xml:space="preserve">CVE-2022-9218</t>
  </si>
  <si>
    <t xml:space="preserve">db-83.meyer-mitchell.org</t>
  </si>
  <si>
    <t xml:space="preserve">153.217.171.224</t>
  </si>
  <si>
    <t xml:space="preserve">CVE-2021-3781</t>
  </si>
  <si>
    <t xml:space="preserve">lt-93.townsend-jordan.com</t>
  </si>
  <si>
    <t xml:space="preserve">153.242.189.234</t>
  </si>
  <si>
    <t xml:space="preserve">CVE-2022-2321</t>
  </si>
  <si>
    <t xml:space="preserve">desktop-84.ruiz.com</t>
  </si>
  <si>
    <t xml:space="preserve">153.253.55.138</t>
  </si>
  <si>
    <t xml:space="preserve">CVE-2024-3040</t>
  </si>
  <si>
    <t xml:space="preserve">srv-70.medina-jensen.com</t>
  </si>
  <si>
    <t xml:space="preserve">155.124.10.68</t>
  </si>
  <si>
    <t xml:space="preserve">CVE-2021-6876</t>
  </si>
  <si>
    <t xml:space="preserve">db-79.huerta-montes.com</t>
  </si>
  <si>
    <t xml:space="preserve">155.7.119.68</t>
  </si>
  <si>
    <t xml:space="preserve">CVE-2023-2726</t>
  </si>
  <si>
    <t xml:space="preserve">desktop-72.randolph.com</t>
  </si>
  <si>
    <t xml:space="preserve">156.119.1.206</t>
  </si>
  <si>
    <t xml:space="preserve">CVE-2022-5652</t>
  </si>
  <si>
    <t xml:space="preserve">desktop-56.coleman.com</t>
  </si>
  <si>
    <t xml:space="preserve">156.45.114.83</t>
  </si>
  <si>
    <t xml:space="preserve">CVE-2023-9780</t>
  </si>
  <si>
    <t xml:space="preserve">web-89.garcia-black.net</t>
  </si>
  <si>
    <t xml:space="preserve">157.129.175.33</t>
  </si>
  <si>
    <t xml:space="preserve">CVE-2020-6889</t>
  </si>
  <si>
    <t xml:space="preserve">web-58.navarro.com</t>
  </si>
  <si>
    <t xml:space="preserve">158.167.219.5</t>
  </si>
  <si>
    <t xml:space="preserve">CVE-2024-3906</t>
  </si>
  <si>
    <t xml:space="preserve">laptop-46.perry.com</t>
  </si>
  <si>
    <t xml:space="preserve">158.43.75.236</t>
  </si>
  <si>
    <t xml:space="preserve">CVE-2024-5848</t>
  </si>
  <si>
    <t xml:space="preserve">email-29.martinez-ortiz.net</t>
  </si>
  <si>
    <t xml:space="preserve">159.114.79.153</t>
  </si>
  <si>
    <t xml:space="preserve">CVE-2022-7014</t>
  </si>
  <si>
    <t xml:space="preserve">laptop-65.neal-wong.com</t>
  </si>
  <si>
    <t xml:space="preserve">159.158.29.206</t>
  </si>
  <si>
    <t xml:space="preserve">CVE-2024-9437</t>
  </si>
  <si>
    <t xml:space="preserve">desktop-44.clark-gibson.com</t>
  </si>
  <si>
    <t xml:space="preserve">16.159.118.80</t>
  </si>
  <si>
    <t xml:space="preserve">CVE-2023-6331</t>
  </si>
  <si>
    <t xml:space="preserve">web-38.robinson-silva.com</t>
  </si>
  <si>
    <t xml:space="preserve">160.128.153.150</t>
  </si>
  <si>
    <t xml:space="preserve">CVE-2024-5247</t>
  </si>
  <si>
    <t xml:space="preserve">srv-69.wilson-ford.com</t>
  </si>
  <si>
    <t xml:space="preserve">160.226.189.223</t>
  </si>
  <si>
    <t xml:space="preserve">CVE-2021-9266</t>
  </si>
  <si>
    <t xml:space="preserve">srv-50.smith.com</t>
  </si>
  <si>
    <t xml:space="preserve">160.226.51.44</t>
  </si>
  <si>
    <t xml:space="preserve">CVE-2021-4304</t>
  </si>
  <si>
    <t xml:space="preserve">email-06.green-foster.biz</t>
  </si>
  <si>
    <t xml:space="preserve">162.22.82.69</t>
  </si>
  <si>
    <t xml:space="preserve">CVE-2024-6030</t>
  </si>
  <si>
    <t xml:space="preserve">db-26.carter-austin.com</t>
  </si>
  <si>
    <t xml:space="preserve">162.36.96.229</t>
  </si>
  <si>
    <t xml:space="preserve">CVE-2022-5518</t>
  </si>
  <si>
    <t xml:space="preserve">desktop-06.pittman.com</t>
  </si>
  <si>
    <t xml:space="preserve">162.81.175.18</t>
  </si>
  <si>
    <t xml:space="preserve">CVE-2024-4647</t>
  </si>
  <si>
    <t xml:space="preserve">laptop-38.hart.info</t>
  </si>
  <si>
    <t xml:space="preserve">164.178.240.186</t>
  </si>
  <si>
    <t xml:space="preserve">CVE-2020-5017</t>
  </si>
  <si>
    <t xml:space="preserve">db-04.jackson.com</t>
  </si>
  <si>
    <t xml:space="preserve">165.174.54.214</t>
  </si>
  <si>
    <t xml:space="preserve">CVE-2020-3540</t>
  </si>
  <si>
    <t xml:space="preserve">desktop-94.williams-davis.com</t>
  </si>
  <si>
    <t xml:space="preserve">165.246.199.227</t>
  </si>
  <si>
    <t xml:space="preserve">CVE-2020-7117</t>
  </si>
  <si>
    <t xml:space="preserve">lt-04.thompson-holder.biz</t>
  </si>
  <si>
    <t xml:space="preserve">166.165.191.16</t>
  </si>
  <si>
    <t xml:space="preserve">CVE-2021-3057</t>
  </si>
  <si>
    <t xml:space="preserve">db-95.white.com</t>
  </si>
  <si>
    <t xml:space="preserve">166.251.215.110</t>
  </si>
  <si>
    <t xml:space="preserve">CVE-2024-4768</t>
  </si>
  <si>
    <t xml:space="preserve">lt-32.johnson.com</t>
  </si>
  <si>
    <t xml:space="preserve">167.190.214.79</t>
  </si>
  <si>
    <t xml:space="preserve">CVE-2021-4986</t>
  </si>
  <si>
    <t xml:space="preserve">desktop-85.hernandez.com</t>
  </si>
  <si>
    <t xml:space="preserve">167.254.177.182</t>
  </si>
  <si>
    <t xml:space="preserve">CVE-2021-3950</t>
  </si>
  <si>
    <t xml:space="preserve">lt-83.evans.com</t>
  </si>
  <si>
    <t xml:space="preserve">168.95.60.185</t>
  </si>
  <si>
    <t xml:space="preserve">CVE-2020-3569</t>
  </si>
  <si>
    <t xml:space="preserve">email-05.chambers-willis.com</t>
  </si>
  <si>
    <t xml:space="preserve">169.249.197.153</t>
  </si>
  <si>
    <t xml:space="preserve">CVE-2021-3978</t>
  </si>
  <si>
    <t xml:space="preserve">srv-50.farmer-vega.biz</t>
  </si>
  <si>
    <t xml:space="preserve">170.197.131.222</t>
  </si>
  <si>
    <t xml:space="preserve">CVE-2021-2776</t>
  </si>
  <si>
    <t xml:space="preserve">web-25.sherman-macdonald.com</t>
  </si>
  <si>
    <t xml:space="preserve">170.54.60.140</t>
  </si>
  <si>
    <t xml:space="preserve">CVE-2020-8338</t>
  </si>
  <si>
    <t xml:space="preserve">email-65.hall-jenkins.com</t>
  </si>
  <si>
    <t xml:space="preserve">171.191.143.9</t>
  </si>
  <si>
    <t xml:space="preserve">CVE-2023-9169</t>
  </si>
  <si>
    <t xml:space="preserve">db-75.george-ross.info</t>
  </si>
  <si>
    <t xml:space="preserve">171.204.100.195</t>
  </si>
  <si>
    <t xml:space="preserve">CVE-2023-8888</t>
  </si>
  <si>
    <t xml:space="preserve">email-27.beck.com</t>
  </si>
  <si>
    <t xml:space="preserve">173.11.99.54</t>
  </si>
  <si>
    <t xml:space="preserve">CVE-2024-2980</t>
  </si>
  <si>
    <t xml:space="preserve">web-92.garcia.com</t>
  </si>
  <si>
    <t xml:space="preserve">173.13.13.113</t>
  </si>
  <si>
    <t xml:space="preserve">CVE-2024-3503</t>
  </si>
  <si>
    <t xml:space="preserve">lt-02.griffith.com</t>
  </si>
  <si>
    <t xml:space="preserve">173.9.121.248</t>
  </si>
  <si>
    <t xml:space="preserve">CVE-2024-2911</t>
  </si>
  <si>
    <t xml:space="preserve">email-63.turner.net</t>
  </si>
  <si>
    <t xml:space="preserve">174.59.10.157</t>
  </si>
  <si>
    <t xml:space="preserve">CVE-2023-3720</t>
  </si>
  <si>
    <t xml:space="preserve">web-75.clark-ashley.info</t>
  </si>
  <si>
    <t xml:space="preserve">175.158.215.108</t>
  </si>
  <si>
    <t xml:space="preserve">CVE-2024-2201</t>
  </si>
  <si>
    <t xml:space="preserve">srv-35.kim-mcdowell.com</t>
  </si>
  <si>
    <t xml:space="preserve">176.200.60.163</t>
  </si>
  <si>
    <t xml:space="preserve">CVE-2024-3547</t>
  </si>
  <si>
    <t xml:space="preserve">db-73.terry.info</t>
  </si>
  <si>
    <t xml:space="preserve">176.27.83.4</t>
  </si>
  <si>
    <t xml:space="preserve">CVE-2022-7143</t>
  </si>
  <si>
    <t xml:space="preserve">lt-24.johnson.biz</t>
  </si>
  <si>
    <t xml:space="preserve">178.13.140.197</t>
  </si>
  <si>
    <t xml:space="preserve">CVE-2022-4891</t>
  </si>
  <si>
    <t xml:space="preserve">desktop-86.quinn-bentley.net</t>
  </si>
  <si>
    <t xml:space="preserve">178.240.249.222</t>
  </si>
  <si>
    <t xml:space="preserve">CVE-2023-6920</t>
  </si>
  <si>
    <t xml:space="preserve">email-83.palmer.com</t>
  </si>
  <si>
    <t xml:space="preserve">178.59.50.33</t>
  </si>
  <si>
    <t xml:space="preserve">CVE-2024-9469</t>
  </si>
  <si>
    <t xml:space="preserve">desktop-51.wilson-edwards.com</t>
  </si>
  <si>
    <t xml:space="preserve">179.99.251.88</t>
  </si>
  <si>
    <t xml:space="preserve">CVE-2021-9258</t>
  </si>
  <si>
    <t xml:space="preserve">db-82.robinson.com</t>
  </si>
  <si>
    <t xml:space="preserve">18.35.31.133</t>
  </si>
  <si>
    <t xml:space="preserve">CVE-2022-5531</t>
  </si>
  <si>
    <t xml:space="preserve">srv-65.webb.com</t>
  </si>
  <si>
    <t xml:space="preserve">181.146.244.138</t>
  </si>
  <si>
    <t xml:space="preserve">CVE-2021-9615</t>
  </si>
  <si>
    <t xml:space="preserve">desktop-95.clark-gonzalez.com</t>
  </si>
  <si>
    <t xml:space="preserve">181.192.207.32</t>
  </si>
  <si>
    <t xml:space="preserve">CVE-2023-1620</t>
  </si>
  <si>
    <t xml:space="preserve">laptop-41.blackwell-graham.com</t>
  </si>
  <si>
    <t xml:space="preserve">182.216.8.3</t>
  </si>
  <si>
    <t xml:space="preserve">CVE-2024-2175</t>
  </si>
  <si>
    <t xml:space="preserve">laptop-14.parker.biz</t>
  </si>
  <si>
    <t xml:space="preserve">182.74.223.48</t>
  </si>
  <si>
    <t xml:space="preserve">CVE-2024-9606</t>
  </si>
  <si>
    <t xml:space="preserve">web-70.ramirez.biz</t>
  </si>
  <si>
    <t xml:space="preserve">183.109.34.223</t>
  </si>
  <si>
    <t xml:space="preserve">CVE-2021-6609</t>
  </si>
  <si>
    <t xml:space="preserve">lt-38.jones.com</t>
  </si>
  <si>
    <t xml:space="preserve">183.21.64.111</t>
  </si>
  <si>
    <t xml:space="preserve">CVE-2021-9607</t>
  </si>
  <si>
    <t xml:space="preserve">web-92.spencer.com</t>
  </si>
  <si>
    <t xml:space="preserve">185.2.189.183</t>
  </si>
  <si>
    <t xml:space="preserve">CVE-2024-9030</t>
  </si>
  <si>
    <t xml:space="preserve">laptop-12.moore.com</t>
  </si>
  <si>
    <t xml:space="preserve">185.44.200.228</t>
  </si>
  <si>
    <t xml:space="preserve">CVE-2020-8705</t>
  </si>
  <si>
    <t xml:space="preserve">db-84.kim.com</t>
  </si>
  <si>
    <t xml:space="preserve">186.135.126.189</t>
  </si>
  <si>
    <t xml:space="preserve">CVE-2022-4706</t>
  </si>
  <si>
    <t xml:space="preserve">web-62.jones.com</t>
  </si>
  <si>
    <t xml:space="preserve">186.168.36.19</t>
  </si>
  <si>
    <t xml:space="preserve">CVE-2022-7645</t>
  </si>
  <si>
    <t xml:space="preserve">db-39.horn.com</t>
  </si>
  <si>
    <t xml:space="preserve">186.77.219.14</t>
  </si>
  <si>
    <t xml:space="preserve">CVE-2024-4839</t>
  </si>
  <si>
    <t xml:space="preserve">web-06.cannon.com</t>
  </si>
  <si>
    <t xml:space="preserve">187.107.94.160</t>
  </si>
  <si>
    <t xml:space="preserve">CVE-2021-8013</t>
  </si>
  <si>
    <t xml:space="preserve">srv-84.davenport-bradley.com</t>
  </si>
  <si>
    <t xml:space="preserve">187.122.19.180</t>
  </si>
  <si>
    <t xml:space="preserve">CVE-2023-1698</t>
  </si>
  <si>
    <t xml:space="preserve">desktop-02.mata.info</t>
  </si>
  <si>
    <t xml:space="preserve">188.190.12.182</t>
  </si>
  <si>
    <t xml:space="preserve">CVE-2024-9492</t>
  </si>
  <si>
    <t xml:space="preserve">email-30.hendricks.info</t>
  </si>
  <si>
    <t xml:space="preserve">189.166.233.43</t>
  </si>
  <si>
    <t xml:space="preserve">CVE-2022-6216</t>
  </si>
  <si>
    <t xml:space="preserve">lt-98.branch-davies.com</t>
  </si>
  <si>
    <t xml:space="preserve">191.229.37.167</t>
  </si>
  <si>
    <t xml:space="preserve">CVE-2023-9709</t>
  </si>
  <si>
    <t xml:space="preserve">email-01.richmond-francis.net</t>
  </si>
  <si>
    <t xml:space="preserve">192.113.246.231</t>
  </si>
  <si>
    <t xml:space="preserve">CVE-2024-6282</t>
  </si>
  <si>
    <t xml:space="preserve">desktop-82.barnett.com</t>
  </si>
  <si>
    <t xml:space="preserve">192.115.212.148</t>
  </si>
  <si>
    <t xml:space="preserve">CVE-2022-8339</t>
  </si>
  <si>
    <t xml:space="preserve">laptop-42.camacho-kim.com</t>
  </si>
  <si>
    <t xml:space="preserve">192.189.1.241</t>
  </si>
  <si>
    <t xml:space="preserve">CVE-2021-4101</t>
  </si>
  <si>
    <t xml:space="preserve">web-46.griffin.biz</t>
  </si>
  <si>
    <t xml:space="preserve">192.84.203.25</t>
  </si>
  <si>
    <t xml:space="preserve">CVE-2024-1294</t>
  </si>
  <si>
    <t xml:space="preserve">email-66.spence-pierce.com</t>
  </si>
  <si>
    <t xml:space="preserve">192.90.86.195</t>
  </si>
  <si>
    <t xml:space="preserve">CVE-2023-2046</t>
  </si>
  <si>
    <t xml:space="preserve">laptop-61.mclaughlin-davis.biz</t>
  </si>
  <si>
    <t xml:space="preserve">193.129.1.172</t>
  </si>
  <si>
    <t xml:space="preserve">CVE-2022-3343</t>
  </si>
  <si>
    <t xml:space="preserve">desktop-96.jackson.com</t>
  </si>
  <si>
    <t xml:space="preserve">193.142.233.124</t>
  </si>
  <si>
    <t xml:space="preserve">CVE-2021-1667</t>
  </si>
  <si>
    <t xml:space="preserve">web-74.cook-white.org</t>
  </si>
  <si>
    <t xml:space="preserve">193.218.127.232</t>
  </si>
  <si>
    <t xml:space="preserve">CVE-2020-8443</t>
  </si>
  <si>
    <t xml:space="preserve">desktop-91.wheeler-stafford.com</t>
  </si>
  <si>
    <t xml:space="preserve">193.225.9.184</t>
  </si>
  <si>
    <t xml:space="preserve">CVE-2022-5394</t>
  </si>
  <si>
    <t xml:space="preserve">db-59.riley.info</t>
  </si>
  <si>
    <t xml:space="preserve">193.29.142.24</t>
  </si>
  <si>
    <t xml:space="preserve">CVE-2021-1619</t>
  </si>
  <si>
    <t xml:space="preserve">lt-91.lee.info</t>
  </si>
  <si>
    <t xml:space="preserve">193.31.181.168</t>
  </si>
  <si>
    <t xml:space="preserve">CVE-2022-8093</t>
  </si>
  <si>
    <t xml:space="preserve">web-53.wright.com</t>
  </si>
  <si>
    <t xml:space="preserve">193.91.214.41</t>
  </si>
  <si>
    <t xml:space="preserve">CVE-2020-5417</t>
  </si>
  <si>
    <t xml:space="preserve">desktop-61.ortiz.com</t>
  </si>
  <si>
    <t xml:space="preserve">194.143.236.56</t>
  </si>
  <si>
    <t xml:space="preserve">CVE-2020-7855</t>
  </si>
  <si>
    <t xml:space="preserve">web-80.scott.net</t>
  </si>
  <si>
    <t xml:space="preserve">194.248.250.146</t>
  </si>
  <si>
    <t xml:space="preserve">CVE-2020-9380</t>
  </si>
  <si>
    <t xml:space="preserve">lt-83.perez.com</t>
  </si>
  <si>
    <t xml:space="preserve">195.110.200.115</t>
  </si>
  <si>
    <t xml:space="preserve">CVE-2020-6907</t>
  </si>
  <si>
    <t xml:space="preserve">desktop-90.edwards.biz</t>
  </si>
  <si>
    <t xml:space="preserve">195.191.254.87</t>
  </si>
  <si>
    <t xml:space="preserve">CVE-2023-5216</t>
  </si>
  <si>
    <t xml:space="preserve">email-79.pace-maynard.com</t>
  </si>
  <si>
    <t xml:space="preserve">195.227.71.235</t>
  </si>
  <si>
    <t xml:space="preserve">CVE-2022-9933</t>
  </si>
  <si>
    <t xml:space="preserve">email-29.chavez.com</t>
  </si>
  <si>
    <t xml:space="preserve">196.152.213.30</t>
  </si>
  <si>
    <t xml:space="preserve">CVE-2021-2946</t>
  </si>
  <si>
    <t xml:space="preserve">lt-63.simpson.org</t>
  </si>
  <si>
    <t xml:space="preserve">196.165.44.235</t>
  </si>
  <si>
    <t xml:space="preserve">CVE-2022-5393</t>
  </si>
  <si>
    <t xml:space="preserve">laptop-45.richards.com</t>
  </si>
  <si>
    <t xml:space="preserve">196.78.78.230</t>
  </si>
  <si>
    <t xml:space="preserve">CVE-2020-8553</t>
  </si>
  <si>
    <t xml:space="preserve">desktop-24.thompson.com</t>
  </si>
  <si>
    <t xml:space="preserve">196.82.15.102</t>
  </si>
  <si>
    <t xml:space="preserve">CVE-2020-2837</t>
  </si>
  <si>
    <t xml:space="preserve">laptop-54.cooper-vargas.biz</t>
  </si>
  <si>
    <t xml:space="preserve">196.96.231.83</t>
  </si>
  <si>
    <t xml:space="preserve">CVE-2020-7635</t>
  </si>
  <si>
    <t xml:space="preserve">email-89.huff.com</t>
  </si>
  <si>
    <t xml:space="preserve">197.104.163.173</t>
  </si>
  <si>
    <t xml:space="preserve">CVE-2023-3814</t>
  </si>
  <si>
    <t xml:space="preserve">db-66.gordon.com</t>
  </si>
  <si>
    <t xml:space="preserve">197.17.143.20</t>
  </si>
  <si>
    <t xml:space="preserve">CVE-2020-5838</t>
  </si>
  <si>
    <t xml:space="preserve">desktop-24.dean.info</t>
  </si>
  <si>
    <t xml:space="preserve">197.236.62.108</t>
  </si>
  <si>
    <t xml:space="preserve">CVE-2023-9110</t>
  </si>
  <si>
    <t xml:space="preserve">email-81.smith.info</t>
  </si>
  <si>
    <t xml:space="preserve">198.184.38.142</t>
  </si>
  <si>
    <t xml:space="preserve">CVE-2020-9514</t>
  </si>
  <si>
    <t xml:space="preserve">lt-45.hoffman-jacobs.com</t>
  </si>
  <si>
    <t xml:space="preserve">199.241.27.140</t>
  </si>
  <si>
    <t xml:space="preserve">CVE-2024-5199</t>
  </si>
  <si>
    <t xml:space="preserve">db-14.hill.biz</t>
  </si>
  <si>
    <t xml:space="preserve">199.246.47.85</t>
  </si>
  <si>
    <t xml:space="preserve">CVE-2021-3845</t>
  </si>
  <si>
    <t xml:space="preserve">laptop-07.crawford-turner.com</t>
  </si>
  <si>
    <t xml:space="preserve">200.122.128.222</t>
  </si>
  <si>
    <t xml:space="preserve">CVE-2020-7609</t>
  </si>
  <si>
    <t xml:space="preserve">email-49.johnson.com</t>
  </si>
  <si>
    <t xml:space="preserve">200.226.23.88</t>
  </si>
  <si>
    <t xml:space="preserve">CVE-2022-5127</t>
  </si>
  <si>
    <t xml:space="preserve">srv-01.romero.com</t>
  </si>
  <si>
    <t xml:space="preserve">201.174.195.152</t>
  </si>
  <si>
    <t xml:space="preserve">CVE-2020-5299</t>
  </si>
  <si>
    <t xml:space="preserve">email-37.white-zimmerman.com</t>
  </si>
  <si>
    <t xml:space="preserve">201.209.43.83</t>
  </si>
  <si>
    <t xml:space="preserve">CVE-2024-4950</t>
  </si>
  <si>
    <t xml:space="preserve">db-93.payne-martinez.com</t>
  </si>
  <si>
    <t xml:space="preserve">201.245.92.141</t>
  </si>
  <si>
    <t xml:space="preserve">CVE-2024-4573</t>
  </si>
  <si>
    <t xml:space="preserve">desktop-22.johnson-schneider.com</t>
  </si>
  <si>
    <t xml:space="preserve">201.93.248.99</t>
  </si>
  <si>
    <t xml:space="preserve">CVE-2022-4331</t>
  </si>
  <si>
    <t xml:space="preserve">srv-83.smith.org</t>
  </si>
  <si>
    <t xml:space="preserve">202.137.49.203</t>
  </si>
  <si>
    <t xml:space="preserve">CVE-2024-6266</t>
  </si>
  <si>
    <t xml:space="preserve">email-11.michael.com</t>
  </si>
  <si>
    <t xml:space="preserve">202.19.18.59</t>
  </si>
  <si>
    <t xml:space="preserve">CVE-2021-1693</t>
  </si>
  <si>
    <t xml:space="preserve">web-31.rodriguez.com</t>
  </si>
  <si>
    <t xml:space="preserve">203.214.62.104</t>
  </si>
  <si>
    <t xml:space="preserve">CVE-2022-3688</t>
  </si>
  <si>
    <t xml:space="preserve">lt-18.phelps-grimes.net</t>
  </si>
  <si>
    <t xml:space="preserve">203.83.135.215</t>
  </si>
  <si>
    <t xml:space="preserve">CVE-2024-8823</t>
  </si>
  <si>
    <t xml:space="preserve">srv-15.mcdonald-dean.org</t>
  </si>
  <si>
    <t xml:space="preserve">203.92.109.231</t>
  </si>
  <si>
    <t xml:space="preserve">CVE-2021-5063</t>
  </si>
  <si>
    <t xml:space="preserve">lt-27.velasquez.com</t>
  </si>
  <si>
    <t xml:space="preserve">204.108.192.246</t>
  </si>
  <si>
    <t xml:space="preserve">CVE-2020-7834</t>
  </si>
  <si>
    <t xml:space="preserve">laptop-62.pearson.info</t>
  </si>
  <si>
    <t xml:space="preserve">204.127.72.187</t>
  </si>
  <si>
    <t xml:space="preserve">CVE-2021-6246</t>
  </si>
  <si>
    <t xml:space="preserve">email-40.williams.biz</t>
  </si>
  <si>
    <t xml:space="preserve">204.15.141.119</t>
  </si>
  <si>
    <t xml:space="preserve">CVE-2024-7733</t>
  </si>
  <si>
    <t xml:space="preserve">srv-22.salazar.com</t>
  </si>
  <si>
    <t xml:space="preserve">204.230.37.225</t>
  </si>
  <si>
    <t xml:space="preserve">CVE-2020-1850</t>
  </si>
  <si>
    <t xml:space="preserve">lt-27.walters.info</t>
  </si>
  <si>
    <t xml:space="preserve">204.30.12.249</t>
  </si>
  <si>
    <t xml:space="preserve">CVE-2021-4681</t>
  </si>
  <si>
    <t xml:space="preserve">lt-22.weaver.com</t>
  </si>
  <si>
    <t xml:space="preserve">205.192.178.58</t>
  </si>
  <si>
    <t xml:space="preserve">CVE-2024-2484</t>
  </si>
  <si>
    <t xml:space="preserve">db-71.cook.com</t>
  </si>
  <si>
    <t xml:space="preserve">205.23.151.166</t>
  </si>
  <si>
    <t xml:space="preserve">CVE-2022-6480</t>
  </si>
  <si>
    <t xml:space="preserve">desktop-91.mcguire.info</t>
  </si>
  <si>
    <t xml:space="preserve">205.252.123.88</t>
  </si>
  <si>
    <t xml:space="preserve">CVE-2021-6844</t>
  </si>
  <si>
    <t xml:space="preserve">web-95.wiggins-mills.com</t>
  </si>
  <si>
    <t xml:space="preserve">205.3.17.243</t>
  </si>
  <si>
    <t xml:space="preserve">CVE-2022-5433</t>
  </si>
  <si>
    <t xml:space="preserve">email-90.ryan.com</t>
  </si>
  <si>
    <t xml:space="preserve">205.48.106.210</t>
  </si>
  <si>
    <t xml:space="preserve">CVE-2020-9592</t>
  </si>
  <si>
    <t xml:space="preserve">db-62.farmer.net</t>
  </si>
  <si>
    <t xml:space="preserve">205.84.245.234</t>
  </si>
  <si>
    <t xml:space="preserve">CVE-2024-6321</t>
  </si>
  <si>
    <t xml:space="preserve">desktop-78.smith-lindsey.com</t>
  </si>
  <si>
    <t xml:space="preserve">206.1.19.132</t>
  </si>
  <si>
    <t xml:space="preserve">CVE-2020-1307</t>
  </si>
  <si>
    <t xml:space="preserve">db-54.phillips.com</t>
  </si>
  <si>
    <t xml:space="preserve">206.170.204.218</t>
  </si>
  <si>
    <t xml:space="preserve">CVE-2024-3171</t>
  </si>
  <si>
    <t xml:space="preserve">srv-25.keller-rhodes.info</t>
  </si>
  <si>
    <t xml:space="preserve">206.173.153.215</t>
  </si>
  <si>
    <t xml:space="preserve">CVE-2021-9214</t>
  </si>
  <si>
    <t xml:space="preserve">laptop-77.shaffer-shannon.net</t>
  </si>
  <si>
    <t xml:space="preserve">206.98.35.163</t>
  </si>
  <si>
    <t xml:space="preserve">CVE-2021-3427</t>
  </si>
  <si>
    <t xml:space="preserve">desktop-55.kramer.info</t>
  </si>
  <si>
    <t xml:space="preserve">207.179.131.138</t>
  </si>
  <si>
    <t xml:space="preserve">CVE-2024-9738</t>
  </si>
  <si>
    <t xml:space="preserve">db-41.spears-grant.org</t>
  </si>
  <si>
    <t xml:space="preserve">207.235.53.232</t>
  </si>
  <si>
    <t xml:space="preserve">CVE-2022-4990</t>
  </si>
  <si>
    <t xml:space="preserve">email-53.leonard.com</t>
  </si>
  <si>
    <t xml:space="preserve">208.117.37.177</t>
  </si>
  <si>
    <t xml:space="preserve">CVE-2020-1733</t>
  </si>
  <si>
    <t xml:space="preserve">lt-19.dean.org</t>
  </si>
  <si>
    <t xml:space="preserve">208.215.176.153</t>
  </si>
  <si>
    <t xml:space="preserve">CVE-2022-7210</t>
  </si>
  <si>
    <t xml:space="preserve">web-16.lee.com</t>
  </si>
  <si>
    <t xml:space="preserve">208.244.212.87</t>
  </si>
  <si>
    <t xml:space="preserve">CVE-2021-5369</t>
  </si>
  <si>
    <t xml:space="preserve">srv-22.taylor-atkinson.biz</t>
  </si>
  <si>
    <t xml:space="preserve">208.59.97.68</t>
  </si>
  <si>
    <t xml:space="preserve">CVE-2024-3785</t>
  </si>
  <si>
    <t xml:space="preserve">srv-25.zimmerman.com</t>
  </si>
  <si>
    <t xml:space="preserve">209.138.26.239</t>
  </si>
  <si>
    <t xml:space="preserve">CVE-2022-7483</t>
  </si>
  <si>
    <t xml:space="preserve">web-86.avery.com</t>
  </si>
  <si>
    <t xml:space="preserve">21.112.226.228</t>
  </si>
  <si>
    <t xml:space="preserve">CVE-2020-5362</t>
  </si>
  <si>
    <t xml:space="preserve">db-05.cook-cooper.com</t>
  </si>
  <si>
    <t xml:space="preserve">21.57.125.33</t>
  </si>
  <si>
    <t xml:space="preserve">CVE-2024-5264</t>
  </si>
  <si>
    <t xml:space="preserve">srv-37.farmer.com</t>
  </si>
  <si>
    <t xml:space="preserve">210.13.191.50</t>
  </si>
  <si>
    <t xml:space="preserve">CVE-2023-3617</t>
  </si>
  <si>
    <t xml:space="preserve">email-08.brennan-miles.com</t>
  </si>
  <si>
    <t xml:space="preserve">211.10.75.151</t>
  </si>
  <si>
    <t xml:space="preserve">CVE-2021-2353</t>
  </si>
  <si>
    <t xml:space="preserve">email-75.bentley.com</t>
  </si>
  <si>
    <t xml:space="preserve">211.106.157.24</t>
  </si>
  <si>
    <t xml:space="preserve">CVE-2020-9206</t>
  </si>
  <si>
    <t xml:space="preserve">web-23.barrera.com</t>
  </si>
  <si>
    <t xml:space="preserve">211.219.51.208</t>
  </si>
  <si>
    <t xml:space="preserve">CVE-2022-6739</t>
  </si>
  <si>
    <t xml:space="preserve">lt-96.smith.com</t>
  </si>
  <si>
    <t xml:space="preserve">212.113.32.28</t>
  </si>
  <si>
    <t xml:space="preserve">CVE-2021-3999</t>
  </si>
  <si>
    <t xml:space="preserve">email-62.moon.com</t>
  </si>
  <si>
    <t xml:space="preserve">212.142.244.61</t>
  </si>
  <si>
    <t xml:space="preserve">CVE-2024-6839</t>
  </si>
  <si>
    <t xml:space="preserve">srv-71.forbes.org</t>
  </si>
  <si>
    <t xml:space="preserve">212.254.111.165</t>
  </si>
  <si>
    <t xml:space="preserve">CVE-2020-4463</t>
  </si>
  <si>
    <t xml:space="preserve">srv-48.mills-leonard.org</t>
  </si>
  <si>
    <t xml:space="preserve">212.74.66.85</t>
  </si>
  <si>
    <t xml:space="preserve">CVE-2020-6085</t>
  </si>
  <si>
    <t xml:space="preserve">email-24.henderson.org</t>
  </si>
  <si>
    <t xml:space="preserve">212.90.94.73</t>
  </si>
  <si>
    <t xml:space="preserve">CVE-2024-2474</t>
  </si>
  <si>
    <t xml:space="preserve">lt-28.tucker.com</t>
  </si>
  <si>
    <t xml:space="preserve">213.123.98.70</t>
  </si>
  <si>
    <t xml:space="preserve">CVE-2023-4178</t>
  </si>
  <si>
    <t xml:space="preserve">db-01.gonzalez.biz</t>
  </si>
  <si>
    <t xml:space="preserve">213.207.78.242</t>
  </si>
  <si>
    <t xml:space="preserve">CVE-2022-5116</t>
  </si>
  <si>
    <t xml:space="preserve">email-71.robinson.com</t>
  </si>
  <si>
    <t xml:space="preserve">213.46.241.0</t>
  </si>
  <si>
    <t xml:space="preserve">CVE-2020-4572</t>
  </si>
  <si>
    <t xml:space="preserve">laptop-89.sanchez.com</t>
  </si>
  <si>
    <t xml:space="preserve">214.138.200.146</t>
  </si>
  <si>
    <t xml:space="preserve">CVE-2024-7415</t>
  </si>
  <si>
    <t xml:space="preserve">srv-32.wilkerson-morrow.net</t>
  </si>
  <si>
    <t xml:space="preserve">214.248.212.94</t>
  </si>
  <si>
    <t xml:space="preserve">CVE-2023-5299</t>
  </si>
  <si>
    <t xml:space="preserve">email-27.smith.com</t>
  </si>
  <si>
    <t xml:space="preserve">214.60.8.109</t>
  </si>
  <si>
    <t xml:space="preserve">CVE-2020-8608</t>
  </si>
  <si>
    <t xml:space="preserve">desktop-91.payne.com</t>
  </si>
  <si>
    <t xml:space="preserve">214.63.0.135</t>
  </si>
  <si>
    <t xml:space="preserve">CVE-2022-7843</t>
  </si>
  <si>
    <t xml:space="preserve">web-71.cooper-merritt.com</t>
  </si>
  <si>
    <t xml:space="preserve">214.79.38.51</t>
  </si>
  <si>
    <t xml:space="preserve">CVE-2020-7578</t>
  </si>
  <si>
    <t xml:space="preserve">email-35.shaw.com</t>
  </si>
  <si>
    <t xml:space="preserve">214.90.243.26</t>
  </si>
  <si>
    <t xml:space="preserve">CVE-2022-9821</t>
  </si>
  <si>
    <t xml:space="preserve">laptop-46.ferguson.com</t>
  </si>
  <si>
    <t xml:space="preserve">215.22.120.62</t>
  </si>
  <si>
    <t xml:space="preserve">CVE-2024-1913</t>
  </si>
  <si>
    <t xml:space="preserve">web-68.harris.info</t>
  </si>
  <si>
    <t xml:space="preserve">216.212.20.140</t>
  </si>
  <si>
    <t xml:space="preserve">CVE-2020-4071</t>
  </si>
  <si>
    <t xml:space="preserve">lt-53.hopkins.biz</t>
  </si>
  <si>
    <t xml:space="preserve">216.68.25.152</t>
  </si>
  <si>
    <t xml:space="preserve">CVE-2021-7070</t>
  </si>
  <si>
    <t xml:space="preserve">desktop-47.chen.com</t>
  </si>
  <si>
    <t xml:space="preserve">217.125.39.174</t>
  </si>
  <si>
    <t xml:space="preserve">CVE-2020-7163</t>
  </si>
  <si>
    <t xml:space="preserve">email-86.peterson.biz</t>
  </si>
  <si>
    <t xml:space="preserve">217.140.34.73</t>
  </si>
  <si>
    <t xml:space="preserve">CVE-2021-7852</t>
  </si>
  <si>
    <t xml:space="preserve">laptop-56.martinez-white.com</t>
  </si>
  <si>
    <t xml:space="preserve">217.199.54.12</t>
  </si>
  <si>
    <t xml:space="preserve">CVE-2022-3946</t>
  </si>
  <si>
    <t xml:space="preserve">desktop-46.smith.com</t>
  </si>
  <si>
    <t xml:space="preserve">217.240.79.206</t>
  </si>
  <si>
    <t xml:space="preserve">CVE-2021-3797</t>
  </si>
  <si>
    <t xml:space="preserve">srv-68.clark.com</t>
  </si>
  <si>
    <t xml:space="preserve">217.249.115.76</t>
  </si>
  <si>
    <t xml:space="preserve">CVE-2024-3856</t>
  </si>
  <si>
    <t xml:space="preserve">desktop-33.cox.com</t>
  </si>
  <si>
    <t xml:space="preserve">217.47.167.157</t>
  </si>
  <si>
    <t xml:space="preserve">CVE-2024-9491</t>
  </si>
  <si>
    <t xml:space="preserve">email-35.conrad.com</t>
  </si>
  <si>
    <t xml:space="preserve">219.107.10.144</t>
  </si>
  <si>
    <t xml:space="preserve">CVE-2024-9123</t>
  </si>
  <si>
    <t xml:space="preserve">desktop-10.jones-davis.com</t>
  </si>
  <si>
    <t xml:space="preserve">219.13.2.126</t>
  </si>
  <si>
    <t xml:space="preserve">CVE-2020-5039</t>
  </si>
  <si>
    <t xml:space="preserve">web-61.kelly.com</t>
  </si>
  <si>
    <t xml:space="preserve">219.175.9.92</t>
  </si>
  <si>
    <t xml:space="preserve">CVE-2024-7440</t>
  </si>
  <si>
    <t xml:space="preserve">db-37.richardson.com</t>
  </si>
  <si>
    <t xml:space="preserve">220.198.22.3</t>
  </si>
  <si>
    <t xml:space="preserve">CVE-2021-7643</t>
  </si>
  <si>
    <t xml:space="preserve">desktop-10.houston.com</t>
  </si>
  <si>
    <t xml:space="preserve">221.88.150.187</t>
  </si>
  <si>
    <t xml:space="preserve">CVE-2024-5254</t>
  </si>
  <si>
    <t xml:space="preserve">desktop-81.white-williams.org</t>
  </si>
  <si>
    <t xml:space="preserve">222.250.159.149</t>
  </si>
  <si>
    <t xml:space="preserve">CVE-2020-5955</t>
  </si>
  <si>
    <t xml:space="preserve">srv-36.welch.net</t>
  </si>
  <si>
    <t xml:space="preserve">222.50.129.225</t>
  </si>
  <si>
    <t xml:space="preserve">CVE-2021-9972</t>
  </si>
  <si>
    <t xml:space="preserve">laptop-86.hess-oneill.net</t>
  </si>
  <si>
    <t xml:space="preserve">222.80.113.19</t>
  </si>
  <si>
    <t xml:space="preserve">CVE-2022-1585</t>
  </si>
  <si>
    <t xml:space="preserve">lt-16.boyle.biz</t>
  </si>
  <si>
    <t xml:space="preserve">222.81.202.6</t>
  </si>
  <si>
    <t xml:space="preserve">CVE-2020-2695</t>
  </si>
  <si>
    <t xml:space="preserve">db-89.hayes-campbell.com</t>
  </si>
  <si>
    <t xml:space="preserve">223.110.70.235</t>
  </si>
  <si>
    <t xml:space="preserve">CVE-2021-8971</t>
  </si>
  <si>
    <t xml:space="preserve">srv-89.johnson.org</t>
  </si>
  <si>
    <t xml:space="preserve">223.186.99.126</t>
  </si>
  <si>
    <t xml:space="preserve">CVE-2023-1817</t>
  </si>
  <si>
    <t xml:space="preserve">web-80.anderson.net</t>
  </si>
  <si>
    <t xml:space="preserve">23.19.197.63</t>
  </si>
  <si>
    <t xml:space="preserve">CVE-2023-4847</t>
  </si>
  <si>
    <t xml:space="preserve">srv-28.hunter.com</t>
  </si>
  <si>
    <t xml:space="preserve">25.156.230.28</t>
  </si>
  <si>
    <t xml:space="preserve">CVE-2023-6115</t>
  </si>
  <si>
    <t xml:space="preserve">srv-63.mcfarland-delacruz.com</t>
  </si>
  <si>
    <t xml:space="preserve">27.226.225.26</t>
  </si>
  <si>
    <t xml:space="preserve">CVE-2023-4655</t>
  </si>
  <si>
    <t xml:space="preserve">db-07.mason-webster.com</t>
  </si>
  <si>
    <t xml:space="preserve">27.8.158.12</t>
  </si>
  <si>
    <t xml:space="preserve">CVE-2023-9342</t>
  </si>
  <si>
    <t xml:space="preserve">laptop-15.delacruz-johnson.info</t>
  </si>
  <si>
    <t xml:space="preserve">28.148.210.239</t>
  </si>
  <si>
    <t xml:space="preserve">CVE-2024-2449</t>
  </si>
  <si>
    <t xml:space="preserve">email-70.gross-holt.biz</t>
  </si>
  <si>
    <t xml:space="preserve">30.151.155.148</t>
  </si>
  <si>
    <t xml:space="preserve">CVE-2022-4311</t>
  </si>
  <si>
    <t xml:space="preserve">lt-67.mills.com</t>
  </si>
  <si>
    <t xml:space="preserve">31.231.62.106</t>
  </si>
  <si>
    <t xml:space="preserve">CVE-2023-2284</t>
  </si>
  <si>
    <t xml:space="preserve">laptop-72.martinez.biz</t>
  </si>
  <si>
    <t xml:space="preserve">32.197.99.188</t>
  </si>
  <si>
    <t xml:space="preserve">CVE-2023-3527</t>
  </si>
  <si>
    <t xml:space="preserve">desktop-28.hoover.org</t>
  </si>
  <si>
    <t xml:space="preserve">33.228.209.3</t>
  </si>
  <si>
    <t xml:space="preserve">CVE-2023-6657</t>
  </si>
  <si>
    <t xml:space="preserve">srv-36.small.com</t>
  </si>
  <si>
    <t xml:space="preserve">35.96.252.2</t>
  </si>
  <si>
    <t xml:space="preserve">CVE-2021-7006</t>
  </si>
  <si>
    <t xml:space="preserve">db-57.miller.com</t>
  </si>
  <si>
    <t xml:space="preserve">38.15.152.94</t>
  </si>
  <si>
    <t xml:space="preserve">CVE-2024-4642</t>
  </si>
  <si>
    <t xml:space="preserve">lt-48.hughes-anderson.com</t>
  </si>
  <si>
    <t xml:space="preserve">39.39.148.85</t>
  </si>
  <si>
    <t xml:space="preserve">CVE-2024-1695</t>
  </si>
  <si>
    <t xml:space="preserve">email-79.cooper.net</t>
  </si>
  <si>
    <t xml:space="preserve">39.92.83.127</t>
  </si>
  <si>
    <t xml:space="preserve">CVE-2023-2499</t>
  </si>
  <si>
    <t xml:space="preserve">laptop-24.brown-browning.com</t>
  </si>
  <si>
    <t xml:space="preserve">4.199.52.146</t>
  </si>
  <si>
    <t xml:space="preserve">CVE-2023-9423</t>
  </si>
  <si>
    <t xml:space="preserve">email-36.nunez.com</t>
  </si>
  <si>
    <t xml:space="preserve">40.96.232.248</t>
  </si>
  <si>
    <t xml:space="preserve">CVE-2024-8048</t>
  </si>
  <si>
    <t xml:space="preserve">web-21.mcdonald-rosario.org</t>
  </si>
  <si>
    <t xml:space="preserve">41.186.208.125</t>
  </si>
  <si>
    <t xml:space="preserve">CVE-2024-4238</t>
  </si>
  <si>
    <t xml:space="preserve">desktop-94.bryant.net</t>
  </si>
  <si>
    <t xml:space="preserve">42.125.74.213</t>
  </si>
  <si>
    <t xml:space="preserve">CVE-2024-3237</t>
  </si>
  <si>
    <t xml:space="preserve">desktop-67.douglas.com</t>
  </si>
  <si>
    <t xml:space="preserve">42.195.93.104</t>
  </si>
  <si>
    <t xml:space="preserve">CVE-2020-9511</t>
  </si>
  <si>
    <t xml:space="preserve">srv-27.jackson.biz</t>
  </si>
  <si>
    <t xml:space="preserve">42.82.191.177</t>
  </si>
  <si>
    <t xml:space="preserve">CVE-2022-3704</t>
  </si>
  <si>
    <t xml:space="preserve">web-64.wilson-moore.org</t>
  </si>
  <si>
    <t xml:space="preserve">44.207.200.74</t>
  </si>
  <si>
    <t xml:space="preserve">CVE-2023-5685</t>
  </si>
  <si>
    <t xml:space="preserve">laptop-18.frey.com</t>
  </si>
  <si>
    <t xml:space="preserve">44.39.3.89</t>
  </si>
  <si>
    <t xml:space="preserve">CVE-2020-4742</t>
  </si>
  <si>
    <t xml:space="preserve">laptop-33.harris.com</t>
  </si>
  <si>
    <t xml:space="preserve">45.174.61.134</t>
  </si>
  <si>
    <t xml:space="preserve">CVE-2022-6574</t>
  </si>
  <si>
    <t xml:space="preserve">db-75.mccarthy-lawrence.com</t>
  </si>
  <si>
    <t xml:space="preserve">46.247.172.210</t>
  </si>
  <si>
    <t xml:space="preserve">CVE-2022-7229</t>
  </si>
  <si>
    <t xml:space="preserve">desktop-10.wallace.com</t>
  </si>
  <si>
    <t xml:space="preserve">48.97.193.35</t>
  </si>
  <si>
    <t xml:space="preserve">CVE-2020-1877</t>
  </si>
  <si>
    <t xml:space="preserve">desktop-42.hunt.com</t>
  </si>
  <si>
    <t xml:space="preserve">49.136.170.179</t>
  </si>
  <si>
    <t xml:space="preserve">CVE-2024-7035</t>
  </si>
  <si>
    <t xml:space="preserve">laptop-89.sullivan.info</t>
  </si>
  <si>
    <t xml:space="preserve">5.187.173.101</t>
  </si>
  <si>
    <t xml:space="preserve">CVE-2022-5078</t>
  </si>
  <si>
    <t xml:space="preserve">db-64.miller-hahn.org</t>
  </si>
  <si>
    <t xml:space="preserve">5.224.154.203</t>
  </si>
  <si>
    <t xml:space="preserve">CVE-2020-9420</t>
  </si>
  <si>
    <t xml:space="preserve">laptop-74.robinson.com</t>
  </si>
  <si>
    <t xml:space="preserve">50.23.3.55</t>
  </si>
  <si>
    <t xml:space="preserve">CVE-2023-7508</t>
  </si>
  <si>
    <t xml:space="preserve">db-62.mitchell-logan.info</t>
  </si>
  <si>
    <t xml:space="preserve">50.243.129.0</t>
  </si>
  <si>
    <t xml:space="preserve">CVE-2023-9198</t>
  </si>
  <si>
    <t xml:space="preserve">srv-02.rivera-fields.com</t>
  </si>
  <si>
    <t xml:space="preserve">50.80.171.2</t>
  </si>
  <si>
    <t xml:space="preserve">CVE-2020-1104</t>
  </si>
  <si>
    <t xml:space="preserve">db-81.hayes-luna.com</t>
  </si>
  <si>
    <t xml:space="preserve">51.175.60.154</t>
  </si>
  <si>
    <t xml:space="preserve">CVE-2023-4453</t>
  </si>
  <si>
    <t xml:space="preserve">desktop-42.kramer.com</t>
  </si>
  <si>
    <t xml:space="preserve">51.213.202.226</t>
  </si>
  <si>
    <t xml:space="preserve">CVE-2020-2314</t>
  </si>
  <si>
    <t xml:space="preserve">email-12.myers-steele.com</t>
  </si>
  <si>
    <t xml:space="preserve">52.156.135.119</t>
  </si>
  <si>
    <t xml:space="preserve">CVE-2023-5312</t>
  </si>
  <si>
    <t xml:space="preserve">web-45.landry-flynn.com</t>
  </si>
  <si>
    <t xml:space="preserve">52.160.62.70</t>
  </si>
  <si>
    <t xml:space="preserve">web-66.miller-newman.com</t>
  </si>
  <si>
    <t xml:space="preserve">53.210.83.58</t>
  </si>
  <si>
    <t xml:space="preserve">CVE-2021-1443</t>
  </si>
  <si>
    <t xml:space="preserve">email-35.grant.com</t>
  </si>
  <si>
    <t xml:space="preserve">54.146.235.160</t>
  </si>
  <si>
    <t xml:space="preserve">CVE-2022-1510</t>
  </si>
  <si>
    <t xml:space="preserve">email-13.torres.com</t>
  </si>
  <si>
    <t xml:space="preserve">54.21.87.210</t>
  </si>
  <si>
    <t xml:space="preserve">CVE-2020-5305</t>
  </si>
  <si>
    <t xml:space="preserve">db-65.burgess.com</t>
  </si>
  <si>
    <t xml:space="preserve">54.226.241.97</t>
  </si>
  <si>
    <t xml:space="preserve">CVE-2023-8401</t>
  </si>
  <si>
    <t xml:space="preserve">laptop-03.austin-brown.com</t>
  </si>
  <si>
    <t xml:space="preserve">63.64.122.97</t>
  </si>
  <si>
    <t xml:space="preserve">CVE-2021-3412</t>
  </si>
  <si>
    <t xml:space="preserve">srv-43.gallegos-howell.com</t>
  </si>
  <si>
    <t xml:space="preserve">64.185.45.189</t>
  </si>
  <si>
    <t xml:space="preserve">CVE-2021-7263</t>
  </si>
  <si>
    <t xml:space="preserve">laptop-84.allison-patel.com</t>
  </si>
  <si>
    <t xml:space="preserve">64.241.136.10</t>
  </si>
  <si>
    <t xml:space="preserve">CVE-2022-2534</t>
  </si>
  <si>
    <t xml:space="preserve">db-75.mathis-stafford.com</t>
  </si>
  <si>
    <t xml:space="preserve">65.246.27.216</t>
  </si>
  <si>
    <t xml:space="preserve">CVE-2023-1154</t>
  </si>
  <si>
    <t xml:space="preserve">srv-76.flores.com</t>
  </si>
  <si>
    <t xml:space="preserve">66.100.197.136</t>
  </si>
  <si>
    <t xml:space="preserve">CVE-2022-9321</t>
  </si>
  <si>
    <t xml:space="preserve">web-65.boyd.com</t>
  </si>
  <si>
    <t xml:space="preserve">66.148.17.231</t>
  </si>
  <si>
    <t xml:space="preserve">CVE-2024-9740</t>
  </si>
  <si>
    <t xml:space="preserve">db-09.clark.org</t>
  </si>
  <si>
    <t xml:space="preserve">68.70.166.15</t>
  </si>
  <si>
    <t xml:space="preserve">CVE-2023-7656</t>
  </si>
  <si>
    <t xml:space="preserve">lt-02.parks-white.com</t>
  </si>
  <si>
    <t xml:space="preserve">69.117.250.227</t>
  </si>
  <si>
    <t xml:space="preserve">CVE-2020-3580</t>
  </si>
  <si>
    <t xml:space="preserve">web-95.aguilar.com</t>
  </si>
  <si>
    <t xml:space="preserve">69.242.112.93</t>
  </si>
  <si>
    <t xml:space="preserve">CVE-2024-5596</t>
  </si>
  <si>
    <t xml:space="preserve">email-51.jenkins-boyd.com</t>
  </si>
  <si>
    <t xml:space="preserve">69.50.81.156</t>
  </si>
  <si>
    <t xml:space="preserve">CVE-2024-8215</t>
  </si>
  <si>
    <t xml:space="preserve">web-74.nunez-evans.com</t>
  </si>
  <si>
    <t xml:space="preserve">7.120.223.138</t>
  </si>
  <si>
    <t xml:space="preserve">CVE-2023-2859</t>
  </si>
  <si>
    <t xml:space="preserve">db-99.neal.com</t>
  </si>
  <si>
    <t xml:space="preserve">7.46.250.106</t>
  </si>
  <si>
    <t xml:space="preserve">CVE-2020-4856</t>
  </si>
  <si>
    <t xml:space="preserve">laptop-73.johnson.net</t>
  </si>
  <si>
    <t xml:space="preserve">70.20.40.137</t>
  </si>
  <si>
    <t xml:space="preserve">CVE-2024-7299</t>
  </si>
  <si>
    <t xml:space="preserve">db-99.sanchez-thomas.biz</t>
  </si>
  <si>
    <t xml:space="preserve">74.100.158.67</t>
  </si>
  <si>
    <t xml:space="preserve">CVE-2024-1218</t>
  </si>
  <si>
    <t xml:space="preserve">laptop-59.ellis.com</t>
  </si>
  <si>
    <t xml:space="preserve">75.99.46.244</t>
  </si>
  <si>
    <t xml:space="preserve">CVE-2024-9172</t>
  </si>
  <si>
    <t xml:space="preserve">lt-88.orr.com</t>
  </si>
  <si>
    <t xml:space="preserve">77.123.116.24</t>
  </si>
  <si>
    <t xml:space="preserve">CVE-2022-8278</t>
  </si>
  <si>
    <t xml:space="preserve">web-29.holland-hunt.com</t>
  </si>
  <si>
    <t xml:space="preserve">77.176.177.153</t>
  </si>
  <si>
    <t xml:space="preserve">CVE-2021-6919</t>
  </si>
  <si>
    <t xml:space="preserve">email-53.davis-vasquez.com</t>
  </si>
  <si>
    <t xml:space="preserve">8.213.141.30</t>
  </si>
  <si>
    <t xml:space="preserve">CVE-2022-5335</t>
  </si>
  <si>
    <t xml:space="preserve">laptop-27.tyler.org</t>
  </si>
  <si>
    <t xml:space="preserve">80.103.243.185</t>
  </si>
  <si>
    <t xml:space="preserve">CVE-2020-8762</t>
  </si>
  <si>
    <t xml:space="preserve">db-46.frank.com</t>
  </si>
  <si>
    <t xml:space="preserve">82.191.170.211</t>
  </si>
  <si>
    <t xml:space="preserve">CVE-2020-7144</t>
  </si>
  <si>
    <t xml:space="preserve">laptop-04.richardson.com</t>
  </si>
  <si>
    <t xml:space="preserve">82.199.169.195</t>
  </si>
  <si>
    <t xml:space="preserve">CVE-2022-3716</t>
  </si>
  <si>
    <t xml:space="preserve">db-65.harding.net</t>
  </si>
  <si>
    <t xml:space="preserve">84.167.72.242</t>
  </si>
  <si>
    <t xml:space="preserve">CVE-2020-8200</t>
  </si>
  <si>
    <t xml:space="preserve">srv-22.ward.org</t>
  </si>
  <si>
    <t xml:space="preserve">84.45.142.169</t>
  </si>
  <si>
    <t xml:space="preserve">CVE-2023-7974</t>
  </si>
  <si>
    <t xml:space="preserve">laptop-49.lawson.net</t>
  </si>
  <si>
    <t xml:space="preserve">85.232.129.47</t>
  </si>
  <si>
    <t xml:space="preserve">CVE-2020-4998</t>
  </si>
  <si>
    <t xml:space="preserve">desktop-89.ferguson.com</t>
  </si>
  <si>
    <t xml:space="preserve">86.237.224.122</t>
  </si>
  <si>
    <t xml:space="preserve">CVE-2021-4975</t>
  </si>
  <si>
    <t xml:space="preserve">email-29.dudley.org</t>
  </si>
  <si>
    <t xml:space="preserve">88.242.145.9</t>
  </si>
  <si>
    <t xml:space="preserve">CVE-2021-9211</t>
  </si>
  <si>
    <t xml:space="preserve">web-39.davis.biz</t>
  </si>
  <si>
    <t xml:space="preserve">90.240.5.143</t>
  </si>
  <si>
    <t xml:space="preserve">CVE-2022-7230</t>
  </si>
  <si>
    <t xml:space="preserve">email-12.watkins.com</t>
  </si>
  <si>
    <t xml:space="preserve">92.211.89.178</t>
  </si>
  <si>
    <t xml:space="preserve">CVE-2022-3027</t>
  </si>
  <si>
    <t xml:space="preserve">db-39.gonzales.org</t>
  </si>
  <si>
    <t xml:space="preserve">92.248.212.87</t>
  </si>
  <si>
    <t xml:space="preserve">CVE-2024-9528</t>
  </si>
  <si>
    <t xml:space="preserve">desktop-94.galvan.org</t>
  </si>
  <si>
    <t xml:space="preserve">92.60.69.231</t>
  </si>
  <si>
    <t xml:space="preserve">CVE-2022-8240</t>
  </si>
  <si>
    <t xml:space="preserve">lt-39.chapman-henderson.net</t>
  </si>
  <si>
    <t xml:space="preserve">94.26.250.129</t>
  </si>
  <si>
    <t xml:space="preserve">CVE-2021-9627</t>
  </si>
  <si>
    <t xml:space="preserve">lt-80.kennedy-dunn.com</t>
  </si>
  <si>
    <t xml:space="preserve">98.72.44.102</t>
  </si>
  <si>
    <t xml:space="preserve">CVE-2024-4831</t>
  </si>
  <si>
    <t xml:space="preserve">desktop-31.brown.net</t>
  </si>
  <si>
    <t xml:space="preserve">99.188.133.175</t>
  </si>
  <si>
    <t xml:space="preserve">CVE-2021-2764</t>
  </si>
  <si>
    <t xml:space="preserve">IOC</t>
  </si>
  <si>
    <t xml:space="preserve">Threat Type</t>
  </si>
  <si>
    <t xml:space="preserve">00531cc82284bca44bc2b4a21262d6efbcdcc2468baa7434d60c0bf55885075d</t>
  </si>
  <si>
    <t xml:space="preserve">Known Attacker</t>
  </si>
  <si>
    <t xml:space="preserve">0a17f6eacfe75365d1eea72b10f278e26f669a4db1e9b8fb4fc4693dd966d6dc</t>
  </si>
  <si>
    <t xml:space="preserve">Botnet C2</t>
  </si>
  <si>
    <t xml:space="preserve">102.207.62.136</t>
  </si>
  <si>
    <t xml:space="preserve">Malicious File Hash (SHA-256)</t>
  </si>
  <si>
    <t xml:space="preserve">10e6c8bdd841b1e08b79705305b95ff4338da76b0127803a55ddf6093bc4ba61</t>
  </si>
  <si>
    <t xml:space="preserve">Remote Code Execution</t>
  </si>
  <si>
    <t xml:space="preserve">12.5.70.21</t>
  </si>
  <si>
    <t xml:space="preserve">Malicious IP</t>
  </si>
  <si>
    <t xml:space="preserve">123.180.207.75</t>
  </si>
  <si>
    <t xml:space="preserve">130.52.88.217</t>
  </si>
  <si>
    <t xml:space="preserve">133.182.126.245</t>
  </si>
  <si>
    <t xml:space="preserve">141.121.143.210</t>
  </si>
  <si>
    <t xml:space="preserve">Phishing Domain</t>
  </si>
  <si>
    <t xml:space="preserve">142.223.164.67</t>
  </si>
  <si>
    <t xml:space="preserve">146.49.216.228</t>
  </si>
  <si>
    <t xml:space="preserve">149.151.231.63</t>
  </si>
  <si>
    <t xml:space="preserve">159.158.13.179</t>
  </si>
  <si>
    <t xml:space="preserve">16.221.21.86</t>
  </si>
  <si>
    <t xml:space="preserve">161.8.241.152</t>
  </si>
  <si>
    <t xml:space="preserve">164.188.166.175</t>
  </si>
  <si>
    <t xml:space="preserve">168.16.39.181</t>
  </si>
  <si>
    <t xml:space="preserve">169.31.13.6</t>
  </si>
  <si>
    <t xml:space="preserve">170.203.195.140</t>
  </si>
  <si>
    <t xml:space="preserve">172.82.128.212</t>
  </si>
  <si>
    <t xml:space="preserve">174.186.88.200</t>
  </si>
  <si>
    <t xml:space="preserve">174.202.129.190</t>
  </si>
  <si>
    <t xml:space="preserve">176.164.39.163</t>
  </si>
  <si>
    <t xml:space="preserve">176.191.137.99</t>
  </si>
  <si>
    <t xml:space="preserve">180.142.89.247</t>
  </si>
  <si>
    <t xml:space="preserve">182.130.253.174</t>
  </si>
  <si>
    <t xml:space="preserve">189.100.95.249</t>
  </si>
  <si>
    <t xml:space="preserve">190.171.223.224</t>
  </si>
  <si>
    <t xml:space="preserve">191.105.68.213</t>
  </si>
  <si>
    <t xml:space="preserve">193.133.133.73</t>
  </si>
  <si>
    <t xml:space="preserve">195.55.84.151</t>
  </si>
  <si>
    <t xml:space="preserve">196.19.242.3</t>
  </si>
  <si>
    <t xml:space="preserve">197.249.47.74</t>
  </si>
  <si>
    <t xml:space="preserve">201.248.176.173</t>
  </si>
  <si>
    <t xml:space="preserve">203.127.16.240</t>
  </si>
  <si>
    <t xml:space="preserve">204.162.55.195</t>
  </si>
  <si>
    <t xml:space="preserve">207.168.225.150</t>
  </si>
  <si>
    <t xml:space="preserve">207.29.204.122</t>
  </si>
  <si>
    <t xml:space="preserve">213.191.194.202</t>
  </si>
  <si>
    <t xml:space="preserve">213.255.98.174</t>
  </si>
  <si>
    <t xml:space="preserve">215.219.233.226</t>
  </si>
  <si>
    <t xml:space="preserve">216.197.236.75</t>
  </si>
  <si>
    <t xml:space="preserve">216.219.111.20</t>
  </si>
  <si>
    <t xml:space="preserve">217.136.149.183</t>
  </si>
  <si>
    <t xml:space="preserve">219.204.87.152</t>
  </si>
  <si>
    <t xml:space="preserve">219.44.199.190</t>
  </si>
  <si>
    <t xml:space="preserve">220.75.27.239</t>
  </si>
  <si>
    <t xml:space="preserve">221.10.242.241</t>
  </si>
  <si>
    <t xml:space="preserve">223.253.176.92</t>
  </si>
  <si>
    <t xml:space="preserve">23994de8c3bb9d63df154bd45e2b4563a8156ee044d1e324ac3ccd4891bf8002</t>
  </si>
  <si>
    <t xml:space="preserve">29.250.169.118</t>
  </si>
  <si>
    <t xml:space="preserve">2c7a472a720c972111fdd323da0fc9bceb74f2ac07a56aebba84ed15264dda5d</t>
  </si>
  <si>
    <t xml:space="preserve">34cd3fa7bf124f7545c6e3d6d5360bc864ff071455e4dfd4c97dc943b194790c</t>
  </si>
  <si>
    <t xml:space="preserve">36.173.40.16</t>
  </si>
  <si>
    <t xml:space="preserve">3bf3fd945c45aaf841fd184381e9bb407388dd4034747d49e982d5c618483925</t>
  </si>
  <si>
    <t xml:space="preserve">3fa13f24f8c2a0c7e1737f440ad48db3a0884cd65d536c2ea05358d4501e9170</t>
  </si>
  <si>
    <t xml:space="preserve">41.4.116.171</t>
  </si>
  <si>
    <t xml:space="preserve">46153f82cce8d214735d7aa13e04024d4a6baf0731cb550a69ee9c26f48c5329</t>
  </si>
  <si>
    <t xml:space="preserve">461ae1005d9f511e567ec2ffdb7f5f9ed75d9ea024227188a78e3d6c5b814ef2</t>
  </si>
  <si>
    <t xml:space="preserve">49.202.40.193</t>
  </si>
  <si>
    <t xml:space="preserve">50fdb5a7b915b9b221a6fb4d12c26526c397066fc9b78a69083f039e28375117</t>
  </si>
  <si>
    <t xml:space="preserve">557d349a9e5778d5f5894d1c7d9d756081ac2469a6926a103006db93c64e6828</t>
  </si>
  <si>
    <t xml:space="preserve">5ae1cebc6b943986e4e9489533d440bfb6f11e4ec87fc468e2b7c437c3eb425d</t>
  </si>
  <si>
    <t xml:space="preserve">654a542f731ec2babc3603a995fe230919a63fcf9d936ffd1ed33ce2eb304af2</t>
  </si>
  <si>
    <t xml:space="preserve">69.240.85.71</t>
  </si>
  <si>
    <t xml:space="preserve">6c6b1d9dc61cd8f0d1a222faf9ae7195c5e55566ff6e2d43329e4ed2085c87e1</t>
  </si>
  <si>
    <t xml:space="preserve">71441b45ecff01922c97fb5228763c10ad3d2f398be4492a5b97eeb6b22e6d4c</t>
  </si>
  <si>
    <t xml:space="preserve">741acc14789eb8029d61795023d83ec94d8ef20308e82fc7d88f2f729aceac36</t>
  </si>
  <si>
    <t xml:space="preserve">76.179.3.134</t>
  </si>
  <si>
    <t xml:space="preserve">7743617e87f59be024ea67882a5cea462456734d11be5c6e398a237ac7008d52</t>
  </si>
  <si>
    <t xml:space="preserve">78.161.31.186</t>
  </si>
  <si>
    <t xml:space="preserve">78e64dcd69f878374ca4aa0a812d15ad7c589fb4bcc6df903e1cc902c8e17ae2</t>
  </si>
  <si>
    <t xml:space="preserve">7ad79276ee0e2a4b06c92c5c23144974102d0d030df81814265f82d5c1a8ec7f</t>
  </si>
  <si>
    <t xml:space="preserve">8.43.48.127</t>
  </si>
  <si>
    <t xml:space="preserve">80.149.134.110</t>
  </si>
  <si>
    <t xml:space="preserve">84.102.206.154</t>
  </si>
  <si>
    <t xml:space="preserve">8d7421dd200e77013e0fe66c45e202de3934b9c8acc520846f08618edbafca9c</t>
  </si>
  <si>
    <t xml:space="preserve">980799fd745451ea117d39299e3f333065c1af1dea02513eaa1c7feb1885891b</t>
  </si>
  <si>
    <t xml:space="preserve">9924938c7a3f52e96d867dba4a9b7a17335aa5d5230638964594db32f90c9939</t>
  </si>
  <si>
    <t xml:space="preserve">9a15a54aedd653b98bca57019245bd7a432ab8b3f32e0fdb972d976bf8682854</t>
  </si>
  <si>
    <t xml:space="preserve">a0170e35c6a50eb61b8abe8941b89ea3039d09150172524463a014345034fc02</t>
  </si>
  <si>
    <t xml:space="preserve">a3d68398ec8de1a46b5bfcf0b8f74198e71c364dcac14fd7596e9386a4a9ce52</t>
  </si>
  <si>
    <t xml:space="preserve">a676135017264d9132861a2c267e5910da88e338784ea2ec131a89ef970ec487</t>
  </si>
  <si>
    <t xml:space="preserve">aa1a689baea6006b09c0a7c550f7258b96e25c10cadb268085795a7857b08bac</t>
  </si>
  <si>
    <t xml:space="preserve">adams.info</t>
  </si>
  <si>
    <t xml:space="preserve">ae1b3ee177ea0177925bbff3edd3c4ea6ef6a27c0e8207d727b3bb448e1cf760</t>
  </si>
  <si>
    <t xml:space="preserve">aguilar-davis.biz</t>
  </si>
  <si>
    <t xml:space="preserve">anderson.info</t>
  </si>
  <si>
    <t xml:space="preserve">b4e54dfd6a7bb88129211e4f30c7e63b26f49efcf66d1e759476381b52fc7e8c</t>
  </si>
  <si>
    <t xml:space="preserve">b9891ce764580a9428e82fd252cd2470547ced2e957410ee9e0350b5f685e09e</t>
  </si>
  <si>
    <t xml:space="preserve">baker-castro.com</t>
  </si>
  <si>
    <t xml:space="preserve">beck.com</t>
  </si>
  <si>
    <t xml:space="preserve">bfde4f8642a9b8b097322fbc622b7e262beea9b4659207e28e4f1d792140a331</t>
  </si>
  <si>
    <t xml:space="preserve">brooks-mitchell.com</t>
  </si>
  <si>
    <t xml:space="preserve">brown.com</t>
  </si>
  <si>
    <t xml:space="preserve">c4db0e1076d9c344f40549b13b939ccbb170a1d5dc79599441a0e9be324f9a1b</t>
  </si>
  <si>
    <t xml:space="preserve">c4de2c5f03e5ac968dff2289930659e86e391d8388560352c72148c5f22c0115</t>
  </si>
  <si>
    <t xml:space="preserve">calderon.biz</t>
  </si>
  <si>
    <t xml:space="preserve">carpenter-garrett.com</t>
  </si>
  <si>
    <t xml:space="preserve">carpenter.net</t>
  </si>
  <si>
    <t xml:space="preserve">carter.org</t>
  </si>
  <si>
    <t xml:space="preserve">cf509dca9bc26bb209e18dc11931ccb84e36765f2c4fec4de7a998862be762bd</t>
  </si>
  <si>
    <t xml:space="preserve">chung.org</t>
  </si>
  <si>
    <t xml:space="preserve">cook.info</t>
  </si>
  <si>
    <t xml:space="preserve">CVE-2020-4093</t>
  </si>
  <si>
    <t xml:space="preserve">CVE-2020-4237</t>
  </si>
  <si>
    <t xml:space="preserve">CVE-2020-4331</t>
  </si>
  <si>
    <t xml:space="preserve">CVE-2020-7064</t>
  </si>
  <si>
    <t xml:space="preserve">CVE-2020-7733</t>
  </si>
  <si>
    <t xml:space="preserve">CVE-2020-9063</t>
  </si>
  <si>
    <t xml:space="preserve">CVE-2021-1235</t>
  </si>
  <si>
    <t xml:space="preserve">CVE-2021-1688</t>
  </si>
  <si>
    <t xml:space="preserve">CVE-2021-3026</t>
  </si>
  <si>
    <t xml:space="preserve">CVE-2021-4345</t>
  </si>
  <si>
    <t xml:space="preserve">CVE-2021-7181</t>
  </si>
  <si>
    <t xml:space="preserve">CVE-2021-8615</t>
  </si>
  <si>
    <t xml:space="preserve">CVE-2022-2314</t>
  </si>
  <si>
    <t xml:space="preserve">CVE-2022-3332</t>
  </si>
  <si>
    <t xml:space="preserve">CVE-2022-3635</t>
  </si>
  <si>
    <t xml:space="preserve">CVE-2022-4371</t>
  </si>
  <si>
    <t xml:space="preserve">CVE-2022-4667</t>
  </si>
  <si>
    <t xml:space="preserve">CVE-2022-4674</t>
  </si>
  <si>
    <t xml:space="preserve">CVE-2022-6247</t>
  </si>
  <si>
    <t xml:space="preserve">CVE-2022-6325</t>
  </si>
  <si>
    <t xml:space="preserve">CVE-2022-6627</t>
  </si>
  <si>
    <t xml:space="preserve">CVE-2022-6961</t>
  </si>
  <si>
    <t xml:space="preserve">CVE-2022-7302</t>
  </si>
  <si>
    <t xml:space="preserve">CVE-2022-7311</t>
  </si>
  <si>
    <t xml:space="preserve">CVE-2022-7871</t>
  </si>
  <si>
    <t xml:space="preserve">CVE-2022-7955</t>
  </si>
  <si>
    <t xml:space="preserve">CVE-2023-1764</t>
  </si>
  <si>
    <t xml:space="preserve">CVE-2023-2119</t>
  </si>
  <si>
    <t xml:space="preserve">CVE-2023-2712</t>
  </si>
  <si>
    <t xml:space="preserve">CVE-2023-2766</t>
  </si>
  <si>
    <t xml:space="preserve">CVE-2023-3666</t>
  </si>
  <si>
    <t xml:space="preserve">CVE-2023-4577</t>
  </si>
  <si>
    <t xml:space="preserve">CVE-2023-6324</t>
  </si>
  <si>
    <t xml:space="preserve">CVE-2023-6480</t>
  </si>
  <si>
    <t xml:space="preserve">CVE-2023-6995</t>
  </si>
  <si>
    <t xml:space="preserve">CVE-2023-8019</t>
  </si>
  <si>
    <t xml:space="preserve">CVE-2023-8072</t>
  </si>
  <si>
    <t xml:space="preserve">CVE-2023-8953</t>
  </si>
  <si>
    <t xml:space="preserve">CVE-2024-1122</t>
  </si>
  <si>
    <t xml:space="preserve">CVE-2024-2058</t>
  </si>
  <si>
    <t xml:space="preserve">CVE-2024-2221</t>
  </si>
  <si>
    <t xml:space="preserve">CVE-2024-2363</t>
  </si>
  <si>
    <t xml:space="preserve">CVE-2024-2588</t>
  </si>
  <si>
    <t xml:space="preserve">CVE-2024-4616</t>
  </si>
  <si>
    <t xml:space="preserve">CVE-2024-5462</t>
  </si>
  <si>
    <t xml:space="preserve">CVE-2024-7030</t>
  </si>
  <si>
    <t xml:space="preserve">CVE-2024-8015</t>
  </si>
  <si>
    <t xml:space="preserve">CVE-2024-8165</t>
  </si>
  <si>
    <t xml:space="preserve">CVE-2024-8184</t>
  </si>
  <si>
    <t xml:space="preserve">CVE-2024-8514</t>
  </si>
  <si>
    <t xml:space="preserve">CVE-2024-8572</t>
  </si>
  <si>
    <t xml:space="preserve">CVE-2024-9139</t>
  </si>
  <si>
    <t xml:space="preserve">CVE-2024-9180</t>
  </si>
  <si>
    <t xml:space="preserve">decker.com</t>
  </si>
  <si>
    <t xml:space="preserve">diaz.com</t>
  </si>
  <si>
    <t xml:space="preserve">edc7365cd8b90381e95ef717da2009c4d8e45e676457e11573e152086389e6e8</t>
  </si>
  <si>
    <t xml:space="preserve">f695da525c158bfaa58b52e2c46a4a211086842b023e68325b885f78b8d32620</t>
  </si>
  <si>
    <t xml:space="preserve">f7d3c73dadf813ad7fe3551b61e640c61df7d2fad15c6d7a269d9e295905d478</t>
  </si>
  <si>
    <t xml:space="preserve">fa86c704ce851b6fc252bbee33f0f70e705f71daeaf82e3aa5f72b026184032b</t>
  </si>
  <si>
    <t xml:space="preserve">fitzgerald.org</t>
  </si>
  <si>
    <t xml:space="preserve">frederick.com</t>
  </si>
  <si>
    <t xml:space="preserve">frye.com</t>
  </si>
  <si>
    <t xml:space="preserve">gordon.org</t>
  </si>
  <si>
    <t xml:space="preserve">grant.com</t>
  </si>
  <si>
    <t xml:space="preserve">harris.com</t>
  </si>
  <si>
    <t xml:space="preserve">hoffman.com</t>
  </si>
  <si>
    <t xml:space="preserve">hoffman.net</t>
  </si>
  <si>
    <t xml:space="preserve">holland-hansen.com</t>
  </si>
  <si>
    <t xml:space="preserve">hunt.com</t>
  </si>
  <si>
    <t xml:space="preserve">hurley.biz</t>
  </si>
  <si>
    <t xml:space="preserve">hurley.info</t>
  </si>
  <si>
    <t xml:space="preserve">johnson-williams.com</t>
  </si>
  <si>
    <t xml:space="preserve">johnson.com</t>
  </si>
  <si>
    <t xml:space="preserve">johnson.org</t>
  </si>
  <si>
    <t xml:space="preserve">johnston.org</t>
  </si>
  <si>
    <t xml:space="preserve">jones.com</t>
  </si>
  <si>
    <t xml:space="preserve">kim-wong.com</t>
  </si>
  <si>
    <t xml:space="preserve">knight.biz</t>
  </si>
  <si>
    <t xml:space="preserve">logan.com</t>
  </si>
  <si>
    <t xml:space="preserve">martin.com</t>
  </si>
  <si>
    <t xml:space="preserve">massey-andrews.com</t>
  </si>
  <si>
    <t xml:space="preserve">mcguire.info</t>
  </si>
  <si>
    <t xml:space="preserve">mills.info</t>
  </si>
  <si>
    <t xml:space="preserve">morales-carrillo.com</t>
  </si>
  <si>
    <t xml:space="preserve">morrow-patel.net</t>
  </si>
  <si>
    <t xml:space="preserve">murphy.com</t>
  </si>
  <si>
    <t xml:space="preserve">murray-miller.net</t>
  </si>
  <si>
    <t xml:space="preserve">newman.org</t>
  </si>
  <si>
    <t xml:space="preserve">odonnell.com</t>
  </si>
  <si>
    <t xml:space="preserve">osborne-dean.biz</t>
  </si>
  <si>
    <t xml:space="preserve">peterson-gardner.com</t>
  </si>
  <si>
    <t xml:space="preserve">reyes.com</t>
  </si>
  <si>
    <t xml:space="preserve">robbins.com</t>
  </si>
  <si>
    <t xml:space="preserve">sandoval.com</t>
  </si>
  <si>
    <t xml:space="preserve">smith.info</t>
  </si>
  <si>
    <t xml:space="preserve">wyatt.com</t>
  </si>
  <si>
    <t xml:space="preserve">CYBERSECURITY PRO SERIES – Module 7: MS EXCEL DASHBOARD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</si>
</sst>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\ hh:mm:ss"/>
    <numFmt numFmtId="166" formatCode="@"/>
    <numFmt numFmtId="167" formatCode="0.00%"/>
  </numFmts>
  <fonts count="23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name val="Arial"/>
      <family val="2"/>
    </font>
    <font>
      <b val="true"/>
      <sz val="10"/>
      <name val="Arial"/>
      <family val="2"/>
    </font>
    <font>
      <sz val="13"/>
      <color rgb="FF000000"/>
      <name val="Arial"/>
      <family val="2"/>
    </font>
    <font>
      <sz val="11"/>
      <color rgb="FF000000"/>
      <name val="Arial"/>
      <family val="2"/>
    </font>
    <font>
      <sz val="7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sz val="13"/>
      <name val="Arial"/>
      <family val="2"/>
    </font>
    <font>
      <sz val="9"/>
      <name val="Arial"/>
      <family val="2"/>
    </font>
    <font>
      <b val="true"/>
      <sz val="24"/>
      <color rgb="FFC9211E"/>
      <name val="Bahnschrift Condensed"/>
      <family val="2"/>
    </font>
    <font>
      <b val="true"/>
      <sz val="13"/>
      <color rgb="FF1A237E"/>
      <name val="Arial"/>
      <family val="2"/>
    </font>
    <font>
      <b val="true"/>
      <sz val="9"/>
      <color rgb="FF1A237E"/>
      <name val="Arial"/>
      <family val="2"/>
    </font>
    <font>
      <b val="true"/>
      <sz val="11"/>
      <color rgb="FF1A237E"/>
      <name val="Arial"/>
      <family val="2"/>
    </font>
    <font>
      <b val="true"/>
      <sz val="10"/>
      <color rgb="FF1A237E"/>
      <name val="Arial"/>
      <family val="2"/>
    </font>
    <font>
      <b val="true"/>
      <sz val="13"/>
      <color rgb="FFB71C1C"/>
      <name val="Arial"/>
      <family val="2"/>
    </font>
    <font>
      <sz val="13"/>
      <color rgb="FFC9211E"/>
      <name val="Arial"/>
      <family val="2"/>
    </font>
    <font>
      <sz val="11"/>
      <color rgb="FFC9211E"/>
      <name val="Arial"/>
      <family val="2"/>
    </font>
    <font>
      <sz val="10"/>
      <color rgb="FF3465A4"/>
      <name val="Arial"/>
      <family val="2"/>
    </font>
    <font>
      <sz val="10"/>
      <color rgb="FF729FC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D7D7"/>
        <bgColor rgb="FFFFCCCC"/>
      </patternFill>
    </fill>
    <fill>
      <patternFill patternType="solid">
        <fgColor rgb="FFB4C7DC"/>
        <bgColor rgb="FFCCCCCC"/>
      </patternFill>
    </fill>
    <fill>
      <patternFill patternType="solid">
        <fgColor rgb="FFEF9A9A"/>
        <bgColor rgb="FFFF8080"/>
      </patternFill>
    </fill>
  </fills>
  <borders count="2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double">
        <color rgb="FFC9211E"/>
      </left>
      <right/>
      <top style="double">
        <color rgb="FFC9211E"/>
      </top>
      <bottom style="double">
        <color rgb="FFC9211E"/>
      </bottom>
      <diagonal/>
    </border>
    <border diagonalUp="false" diagonalDown="false">
      <left/>
      <right/>
      <top style="double">
        <color rgb="FFC9211E"/>
      </top>
      <bottom style="double">
        <color rgb="FFC9211E"/>
      </bottom>
      <diagonal/>
    </border>
    <border diagonalUp="false" diagonalDown="false">
      <left/>
      <right style="double">
        <color rgb="FFC9211E"/>
      </right>
      <top style="double">
        <color rgb="FFC9211E"/>
      </top>
      <bottom style="double">
        <color rgb="FFC9211E"/>
      </bottom>
      <diagonal/>
    </border>
    <border diagonalUp="false" diagonalDown="false">
      <left style="hair"/>
      <right style="hair"/>
      <top style="hair"/>
      <bottom style="hair"/>
      <diagonal/>
    </border>
  </borders>
  <cellStyleXfs count="2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2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1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8" xfId="21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5" fillId="0" borderId="9" xfId="25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0" xfId="21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1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3" xfId="24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21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7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6" xfId="24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7" xfId="25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5" fillId="0" borderId="18" xfId="24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9" xfId="24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0" xfId="24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2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2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2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2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2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2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6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7" xfId="21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5" fillId="0" borderId="8" xfId="21" applyFont="true" applyBorder="true" applyAlignment="false" applyProtection="false">
      <alignment horizontal="left" vertical="bottom" textRotation="0" wrapText="false" indent="0" shrinkToFit="false"/>
      <protection locked="true" hidden="false"/>
    </xf>
  </cellXfs>
  <cellStyles count="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eading 1 1" xfId="20"/>
    <cellStyle name="Pivot Table Category" xfId="21"/>
    <cellStyle name="Pivot Table Corner" xfId="22"/>
    <cellStyle name="Pivot Table Field" xfId="23"/>
    <cellStyle name="Pivot Table Result" xfId="24"/>
    <cellStyle name="Pivot Table Title" xfId="25"/>
    <cellStyle name="Pivot Table Value" xfId="26"/>
  </cellStyles>
  <dxfs count="4">
    <dxf>
      <fill>
        <patternFill patternType="solid">
          <bgColor rgb="FF000000"/>
        </patternFill>
      </fill>
    </dxf>
    <dxf>
      <fill>
        <patternFill patternType="solid">
          <fgColor rgb="FFFFCCCC"/>
          <bgColor rgb="FF000000"/>
        </patternFill>
      </fill>
    </dxf>
    <dxf>
      <fill>
        <patternFill patternType="solid">
          <fgColor rgb="FFCC0000"/>
          <bgColor rgb="FF000000"/>
        </patternFill>
      </fill>
    </dxf>
    <dxf>
      <font>
        <name val="Arial"/>
        <family val="2"/>
        <color rgb="FFCC0000"/>
      </font>
      <fill>
        <patternFill>
          <bgColor rgb="FFFFCCCC"/>
        </patternFill>
      </fill>
    </dxf>
  </dxfs>
  <colors>
    <indexedColors>
      <rgbColor rgb="FF000000"/>
      <rgbColor rgb="FFEEEEEE"/>
      <rgbColor rgb="FFCC0000"/>
      <rgbColor rgb="FF00FF00"/>
      <rgbColor rgb="FF0000FF"/>
      <rgbColor rgb="FFFFFF00"/>
      <rgbColor rgb="FFFF00FF"/>
      <rgbColor rgb="FF00FFFF"/>
      <rgbColor rgb="FF7E0021"/>
      <rgbColor rgb="FF008000"/>
      <rgbColor rgb="FF000080"/>
      <rgbColor rgb="FF808000"/>
      <rgbColor rgb="FF800080"/>
      <rgbColor rgb="FF008080"/>
      <rgbColor rgb="FFCCCCCC"/>
      <rgbColor rgb="FF808080"/>
      <rgbColor rgb="FF729FCF"/>
      <rgbColor rgb="FFC9211E"/>
      <rgbColor rgb="FFE6E6E6"/>
      <rgbColor rgb="FFDEE6EF"/>
      <rgbColor rgb="FF660066"/>
      <rgbColor rgb="FFFF8080"/>
      <rgbColor rgb="FF2A6099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D7D7"/>
      <rgbColor rgb="FFB4C7DC"/>
      <rgbColor rgb="FFEF9A9A"/>
      <rgbColor rgb="FFCC99FF"/>
      <rgbColor rgb="FFFFCCCC"/>
      <rgbColor rgb="FF3366FF"/>
      <rgbColor rgb="FF33CCCC"/>
      <rgbColor rgb="FF99CC00"/>
      <rgbColor rgb="FFFFD320"/>
      <rgbColor rgb="FFFF9900"/>
      <rgbColor rgb="FFFF420E"/>
      <rgbColor rgb="FF3465A4"/>
      <rgbColor rgb="FFB3B3B3"/>
      <rgbColor rgb="FF004586"/>
      <rgbColor rgb="FF579D1C"/>
      <rgbColor rgb="FF003300"/>
      <rgbColor rgb="FF333300"/>
      <rgbColor rgb="FFB71C1C"/>
      <rgbColor rgb="FF993366"/>
      <rgbColor rgb="FF1A237E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sz="1300" strike="noStrike" u="none">
                <a:solidFill>
                  <a:srgbClr val="000000"/>
                </a:solidFill>
                <a:uFillTx/>
                <a:latin typeface="Arial"/>
                <a:ea typeface="DejaVu Sans"/>
              </a:rPr>
              <a:t>Firewall Logs - </a:t>
            </a:r>
          </a:p>
          <a:p>
            <a:pPr>
              <a:defRPr b="0" sz="1300" strike="noStrike" u="none">
                <a:uFillTx/>
                <a:latin typeface="Arial"/>
              </a:defRPr>
            </a:pPr>
            <a:r>
              <a:rPr b="0" sz="1100" strike="noStrike" u="none">
                <a:solidFill>
                  <a:srgbClr val="000000"/>
                </a:solidFill>
                <a:uFillTx/>
                <a:latin typeface="Arial"/>
                <a:ea typeface="DejaVu Sans"/>
              </a:rPr>
              <a:t># of Allowed &amp; Blocked IPs</a:t>
            </a:r>
          </a:p>
        </c:rich>
      </c:tx>
      <c:overlay val="0"/>
      <c:spPr>
        <a:noFill/>
        <a:ln w="0">
          <a:noFill/>
        </a:ln>
      </c:spPr>
    </c:title>
    <c:autoTitleDeleted val="0"/>
    <c:view3D>
      <c:rotX val="11"/>
      <c:rotY val="25"/>
      <c:rAngAx val="1"/>
      <c:perspective val="40"/>
    </c:view3D>
    <c:floor>
      <c:spPr>
        <a:solidFill>
          <a:srgbClr val="cccccc"/>
        </a:solidFill>
        <a:ln w="0">
          <a:noFill/>
        </a:ln>
      </c:spPr>
    </c:floor>
    <c:sideWall>
      <c:spPr>
        <a:noFill/>
        <a:ln w="0">
          <a:solidFill>
            <a:srgbClr val="b3b3b3"/>
          </a:solidFill>
        </a:ln>
      </c:spPr>
    </c:sideWall>
    <c:backWall>
      <c:spPr>
        <a:noFill/>
        <a:ln w="0">
          <a:solidFill>
            <a:srgbClr val="b3b3b3"/>
          </a:solidFill>
        </a:ln>
      </c:spPr>
    </c:backWall>
    <c:plotArea>
      <c:bar3DChart>
        <c:barDir val="col"/>
        <c:grouping val="clustered"/>
        <c:varyColors val="0"/>
        <c:ser>
          <c:idx val="0"/>
          <c:order val="0"/>
          <c:tx>
            <c:strRef>
              <c:f>label 0</c:f>
              <c:strCache>
                <c:ptCount val="1"/>
                <c:pt idx="0">
                  <c:v>Allowed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categories</c:f>
              <c:multiLvlStrCache>
                <c:ptCount val="290"/>
                <c:lvl>
                  <c:pt idx="0">
                    <c:v>08:00</c:v>
                  </c:pt>
                  <c:pt idx="1">
                    <c:v>08:03</c:v>
                  </c:pt>
                  <c:pt idx="2">
                    <c:v>08:07</c:v>
                  </c:pt>
                  <c:pt idx="3">
                    <c:v>08:10</c:v>
                  </c:pt>
                  <c:pt idx="4">
                    <c:v>08:16</c:v>
                  </c:pt>
                  <c:pt idx="5">
                    <c:v>08:22</c:v>
                  </c:pt>
                  <c:pt idx="6">
                    <c:v>08:35</c:v>
                  </c:pt>
                  <c:pt idx="7">
                    <c:v>08:43</c:v>
                  </c:pt>
                  <c:pt idx="8">
                    <c:v>08:54</c:v>
                  </c:pt>
                  <c:pt idx="9">
                    <c:v>08:55</c:v>
                  </c:pt>
                  <c:pt idx="10">
                    <c:v>08:57</c:v>
                  </c:pt>
                  <c:pt idx="11">
                    <c:v>08:58</c:v>
                  </c:pt>
                  <c:pt idx="12">
                    <c:v>09:04</c:v>
                  </c:pt>
                  <c:pt idx="13">
                    <c:v>09:06</c:v>
                  </c:pt>
                  <c:pt idx="14">
                    <c:v>09:16</c:v>
                  </c:pt>
                  <c:pt idx="15">
                    <c:v>09:22</c:v>
                  </c:pt>
                  <c:pt idx="16">
                    <c:v>09:24</c:v>
                  </c:pt>
                  <c:pt idx="17">
                    <c:v>09:28</c:v>
                  </c:pt>
                  <c:pt idx="18">
                    <c:v>09:31</c:v>
                  </c:pt>
                  <c:pt idx="19">
                    <c:v>09:35</c:v>
                  </c:pt>
                  <c:pt idx="20">
                    <c:v>09:41</c:v>
                  </c:pt>
                  <c:pt idx="21">
                    <c:v>09:56</c:v>
                  </c:pt>
                  <c:pt idx="22">
                    <c:v>10:01</c:v>
                  </c:pt>
                  <c:pt idx="23">
                    <c:v>10:06</c:v>
                  </c:pt>
                  <c:pt idx="24">
                    <c:v>10:19</c:v>
                  </c:pt>
                  <c:pt idx="25">
                    <c:v>10:22</c:v>
                  </c:pt>
                  <c:pt idx="26">
                    <c:v>10:24</c:v>
                  </c:pt>
                  <c:pt idx="27">
                    <c:v>10:25</c:v>
                  </c:pt>
                  <c:pt idx="28">
                    <c:v>10:26</c:v>
                  </c:pt>
                  <c:pt idx="29">
                    <c:v>10:38</c:v>
                  </c:pt>
                  <c:pt idx="30">
                    <c:v>10:39</c:v>
                  </c:pt>
                  <c:pt idx="31">
                    <c:v>10:40</c:v>
                  </c:pt>
                  <c:pt idx="32">
                    <c:v>10:43</c:v>
                  </c:pt>
                  <c:pt idx="33">
                    <c:v>10:45</c:v>
                  </c:pt>
                  <c:pt idx="34">
                    <c:v>10:47</c:v>
                  </c:pt>
                  <c:pt idx="35">
                    <c:v>10:54</c:v>
                  </c:pt>
                  <c:pt idx="36">
                    <c:v>10:57</c:v>
                  </c:pt>
                  <c:pt idx="37">
                    <c:v>11:00</c:v>
                  </c:pt>
                  <c:pt idx="38">
                    <c:v>11:05</c:v>
                  </c:pt>
                  <c:pt idx="39">
                    <c:v>11:16</c:v>
                  </c:pt>
                  <c:pt idx="40">
                    <c:v>11:23</c:v>
                  </c:pt>
                  <c:pt idx="41">
                    <c:v>11:25</c:v>
                  </c:pt>
                  <c:pt idx="42">
                    <c:v>11:26</c:v>
                  </c:pt>
                  <c:pt idx="43">
                    <c:v>11:30</c:v>
                  </c:pt>
                  <c:pt idx="44">
                    <c:v>11:33</c:v>
                  </c:pt>
                  <c:pt idx="45">
                    <c:v>11:34</c:v>
                  </c:pt>
                  <c:pt idx="46">
                    <c:v>11:37</c:v>
                  </c:pt>
                  <c:pt idx="47">
                    <c:v>11:46</c:v>
                  </c:pt>
                  <c:pt idx="48">
                    <c:v>11:53</c:v>
                  </c:pt>
                  <c:pt idx="49">
                    <c:v>11:55</c:v>
                  </c:pt>
                  <c:pt idx="50">
                    <c:v>11:58</c:v>
                  </c:pt>
                  <c:pt idx="51">
                    <c:v>12:00</c:v>
                  </c:pt>
                  <c:pt idx="52">
                    <c:v>12:03</c:v>
                  </c:pt>
                  <c:pt idx="53">
                    <c:v>12:05</c:v>
                  </c:pt>
                  <c:pt idx="54">
                    <c:v>12:07</c:v>
                  </c:pt>
                  <c:pt idx="55">
                    <c:v>12:08</c:v>
                  </c:pt>
                  <c:pt idx="56">
                    <c:v>12:10</c:v>
                  </c:pt>
                  <c:pt idx="57">
                    <c:v>12:12</c:v>
                  </c:pt>
                  <c:pt idx="58">
                    <c:v>12:14</c:v>
                  </c:pt>
                  <c:pt idx="59">
                    <c:v>12:25</c:v>
                  </c:pt>
                  <c:pt idx="60">
                    <c:v>12:28</c:v>
                  </c:pt>
                  <c:pt idx="61">
                    <c:v>12:32</c:v>
                  </c:pt>
                  <c:pt idx="62">
                    <c:v>12:33</c:v>
                  </c:pt>
                  <c:pt idx="63">
                    <c:v>12:42</c:v>
                  </c:pt>
                  <c:pt idx="64">
                    <c:v>12:48</c:v>
                  </c:pt>
                  <c:pt idx="65">
                    <c:v>12:54</c:v>
                  </c:pt>
                  <c:pt idx="66">
                    <c:v>13:05</c:v>
                  </c:pt>
                  <c:pt idx="67">
                    <c:v>13:17</c:v>
                  </c:pt>
                  <c:pt idx="68">
                    <c:v>13:18</c:v>
                  </c:pt>
                  <c:pt idx="69">
                    <c:v>13:22</c:v>
                  </c:pt>
                  <c:pt idx="70">
                    <c:v>13:25</c:v>
                  </c:pt>
                  <c:pt idx="71">
                    <c:v>13:28</c:v>
                  </c:pt>
                  <c:pt idx="72">
                    <c:v>13:29</c:v>
                  </c:pt>
                  <c:pt idx="73">
                    <c:v>13:33</c:v>
                  </c:pt>
                  <c:pt idx="74">
                    <c:v>13:38</c:v>
                  </c:pt>
                  <c:pt idx="75">
                    <c:v>13:41</c:v>
                  </c:pt>
                  <c:pt idx="76">
                    <c:v>13:43</c:v>
                  </c:pt>
                  <c:pt idx="77">
                    <c:v>13:51</c:v>
                  </c:pt>
                  <c:pt idx="78">
                    <c:v>13:57</c:v>
                  </c:pt>
                  <c:pt idx="79">
                    <c:v>14:00</c:v>
                  </c:pt>
                  <c:pt idx="80">
                    <c:v>14:04</c:v>
                  </c:pt>
                  <c:pt idx="81">
                    <c:v>14:11</c:v>
                  </c:pt>
                  <c:pt idx="82">
                    <c:v>14:15</c:v>
                  </c:pt>
                  <c:pt idx="83">
                    <c:v>14:20</c:v>
                  </c:pt>
                  <c:pt idx="84">
                    <c:v>14:30</c:v>
                  </c:pt>
                  <c:pt idx="85">
                    <c:v>14:34</c:v>
                  </c:pt>
                  <c:pt idx="86">
                    <c:v>14:36</c:v>
                  </c:pt>
                  <c:pt idx="87">
                    <c:v>14:39</c:v>
                  </c:pt>
                  <c:pt idx="88">
                    <c:v>14:49</c:v>
                  </c:pt>
                  <c:pt idx="89">
                    <c:v>14:50</c:v>
                  </c:pt>
                  <c:pt idx="90">
                    <c:v>14:57</c:v>
                  </c:pt>
                  <c:pt idx="91">
                    <c:v>14:58</c:v>
                  </c:pt>
                  <c:pt idx="92">
                    <c:v>15:00</c:v>
                  </c:pt>
                  <c:pt idx="93">
                    <c:v>15:01</c:v>
                  </c:pt>
                  <c:pt idx="94">
                    <c:v>15:03</c:v>
                  </c:pt>
                  <c:pt idx="95">
                    <c:v>15:04</c:v>
                  </c:pt>
                  <c:pt idx="96">
                    <c:v>15:08</c:v>
                  </c:pt>
                  <c:pt idx="97">
                    <c:v>15:10</c:v>
                  </c:pt>
                  <c:pt idx="98">
                    <c:v>15:12</c:v>
                  </c:pt>
                  <c:pt idx="99">
                    <c:v>15:17</c:v>
                  </c:pt>
                  <c:pt idx="100">
                    <c:v>15:20</c:v>
                  </c:pt>
                  <c:pt idx="101">
                    <c:v>15:21</c:v>
                  </c:pt>
                  <c:pt idx="102">
                    <c:v>15:26</c:v>
                  </c:pt>
                  <c:pt idx="103">
                    <c:v>15:33</c:v>
                  </c:pt>
                  <c:pt idx="104">
                    <c:v>15:38</c:v>
                  </c:pt>
                  <c:pt idx="105">
                    <c:v>15:43</c:v>
                  </c:pt>
                  <c:pt idx="106">
                    <c:v>15:46</c:v>
                  </c:pt>
                  <c:pt idx="107">
                    <c:v>15:47</c:v>
                  </c:pt>
                  <c:pt idx="108">
                    <c:v>15:55</c:v>
                  </c:pt>
                  <c:pt idx="109">
                    <c:v>15:57</c:v>
                  </c:pt>
                  <c:pt idx="110">
                    <c:v>16:03</c:v>
                  </c:pt>
                  <c:pt idx="111">
                    <c:v>16:04</c:v>
                  </c:pt>
                  <c:pt idx="112">
                    <c:v>16:07</c:v>
                  </c:pt>
                  <c:pt idx="113">
                    <c:v>16:12</c:v>
                  </c:pt>
                  <c:pt idx="114">
                    <c:v>16:13</c:v>
                  </c:pt>
                  <c:pt idx="115">
                    <c:v>16:20</c:v>
                  </c:pt>
                  <c:pt idx="116">
                    <c:v>16:24</c:v>
                  </c:pt>
                  <c:pt idx="117">
                    <c:v>16:28</c:v>
                  </c:pt>
                  <c:pt idx="118">
                    <c:v>16:30</c:v>
                  </c:pt>
                  <c:pt idx="119">
                    <c:v>16:31</c:v>
                  </c:pt>
                  <c:pt idx="120">
                    <c:v>16:36</c:v>
                  </c:pt>
                  <c:pt idx="121">
                    <c:v>16:46</c:v>
                  </c:pt>
                  <c:pt idx="122">
                    <c:v>16:54</c:v>
                  </c:pt>
                  <c:pt idx="123">
                    <c:v>16:59</c:v>
                  </c:pt>
                  <c:pt idx="124">
                    <c:v>17:01</c:v>
                  </c:pt>
                  <c:pt idx="125">
                    <c:v>17:03</c:v>
                  </c:pt>
                  <c:pt idx="126">
                    <c:v>17:12</c:v>
                  </c:pt>
                  <c:pt idx="127">
                    <c:v>17:13</c:v>
                  </c:pt>
                  <c:pt idx="128">
                    <c:v>17:17</c:v>
                  </c:pt>
                  <c:pt idx="129">
                    <c:v>17:47</c:v>
                  </c:pt>
                  <c:pt idx="130">
                    <c:v>17:48</c:v>
                  </c:pt>
                  <c:pt idx="131">
                    <c:v>17:50</c:v>
                  </c:pt>
                  <c:pt idx="132">
                    <c:v>17:55</c:v>
                  </c:pt>
                  <c:pt idx="133">
                    <c:v>18:04</c:v>
                  </c:pt>
                  <c:pt idx="134">
                    <c:v>18:12</c:v>
                  </c:pt>
                  <c:pt idx="135">
                    <c:v>18:14</c:v>
                  </c:pt>
                  <c:pt idx="136">
                    <c:v>18:16</c:v>
                  </c:pt>
                  <c:pt idx="137">
                    <c:v>18:17</c:v>
                  </c:pt>
                  <c:pt idx="138">
                    <c:v>18:33</c:v>
                  </c:pt>
                  <c:pt idx="139">
                    <c:v>18:41</c:v>
                  </c:pt>
                  <c:pt idx="140">
                    <c:v>18:45</c:v>
                  </c:pt>
                  <c:pt idx="141">
                    <c:v>18:51</c:v>
                  </c:pt>
                  <c:pt idx="142">
                    <c:v>18:52</c:v>
                  </c:pt>
                  <c:pt idx="143">
                    <c:v>18:54</c:v>
                  </c:pt>
                  <c:pt idx="144">
                    <c:v>18:56</c:v>
                  </c:pt>
                  <c:pt idx="145">
                    <c:v>18:58</c:v>
                  </c:pt>
                  <c:pt idx="146">
                    <c:v>19:04</c:v>
                  </c:pt>
                  <c:pt idx="147">
                    <c:v>19:07</c:v>
                  </c:pt>
                  <c:pt idx="148">
                    <c:v>19:13</c:v>
                  </c:pt>
                  <c:pt idx="149">
                    <c:v>19:14</c:v>
                  </c:pt>
                  <c:pt idx="150">
                    <c:v>19:22</c:v>
                  </c:pt>
                  <c:pt idx="151">
                    <c:v>19:23</c:v>
                  </c:pt>
                  <c:pt idx="152">
                    <c:v>19:24</c:v>
                  </c:pt>
                  <c:pt idx="153">
                    <c:v>19:29</c:v>
                  </c:pt>
                  <c:pt idx="154">
                    <c:v>19:31</c:v>
                  </c:pt>
                  <c:pt idx="155">
                    <c:v>19:33</c:v>
                  </c:pt>
                  <c:pt idx="156">
                    <c:v>19:36</c:v>
                  </c:pt>
                  <c:pt idx="157">
                    <c:v>19:40</c:v>
                  </c:pt>
                  <c:pt idx="158">
                    <c:v>19:42</c:v>
                  </c:pt>
                  <c:pt idx="159">
                    <c:v>19:55</c:v>
                  </c:pt>
                  <c:pt idx="160">
                    <c:v>19:57</c:v>
                  </c:pt>
                  <c:pt idx="161">
                    <c:v>19:59</c:v>
                  </c:pt>
                  <c:pt idx="162">
                    <c:v>20:00</c:v>
                  </c:pt>
                  <c:pt idx="163">
                    <c:v>20:05</c:v>
                  </c:pt>
                  <c:pt idx="164">
                    <c:v>20:08</c:v>
                  </c:pt>
                  <c:pt idx="165">
                    <c:v>20:09</c:v>
                  </c:pt>
                  <c:pt idx="166">
                    <c:v>20:11</c:v>
                  </c:pt>
                  <c:pt idx="167">
                    <c:v>20:12</c:v>
                  </c:pt>
                  <c:pt idx="168">
                    <c:v>20:20</c:v>
                  </c:pt>
                  <c:pt idx="169">
                    <c:v>20:22</c:v>
                  </c:pt>
                  <c:pt idx="170">
                    <c:v>20:25</c:v>
                  </c:pt>
                  <c:pt idx="171">
                    <c:v>20:30</c:v>
                  </c:pt>
                  <c:pt idx="172">
                    <c:v>20:36</c:v>
                  </c:pt>
                  <c:pt idx="173">
                    <c:v>20:40</c:v>
                  </c:pt>
                  <c:pt idx="174">
                    <c:v>20:41</c:v>
                  </c:pt>
                  <c:pt idx="175">
                    <c:v>20:50</c:v>
                  </c:pt>
                  <c:pt idx="176">
                    <c:v>20:53</c:v>
                  </c:pt>
                  <c:pt idx="177">
                    <c:v>21:06</c:v>
                  </c:pt>
                  <c:pt idx="178">
                    <c:v>21:17</c:v>
                  </c:pt>
                  <c:pt idx="179">
                    <c:v>21:23</c:v>
                  </c:pt>
                  <c:pt idx="180">
                    <c:v>21:26</c:v>
                  </c:pt>
                  <c:pt idx="181">
                    <c:v>21:38</c:v>
                  </c:pt>
                  <c:pt idx="182">
                    <c:v>21:40</c:v>
                  </c:pt>
                  <c:pt idx="183">
                    <c:v>21:49</c:v>
                  </c:pt>
                  <c:pt idx="184">
                    <c:v>21:53</c:v>
                  </c:pt>
                  <c:pt idx="185">
                    <c:v>21:56</c:v>
                  </c:pt>
                  <c:pt idx="186">
                    <c:v>21:58</c:v>
                  </c:pt>
                  <c:pt idx="187">
                    <c:v>22:04</c:v>
                  </c:pt>
                  <c:pt idx="188">
                    <c:v>22:08</c:v>
                  </c:pt>
                  <c:pt idx="189">
                    <c:v>22:24</c:v>
                  </c:pt>
                  <c:pt idx="190">
                    <c:v>22:39</c:v>
                  </c:pt>
                  <c:pt idx="191">
                    <c:v>22:53</c:v>
                  </c:pt>
                  <c:pt idx="192">
                    <c:v>22:55</c:v>
                  </c:pt>
                  <c:pt idx="193">
                    <c:v>22:56</c:v>
                  </c:pt>
                  <c:pt idx="194">
                    <c:v>23:19</c:v>
                  </c:pt>
                  <c:pt idx="195">
                    <c:v>23:20</c:v>
                  </c:pt>
                  <c:pt idx="196">
                    <c:v>23:33</c:v>
                  </c:pt>
                  <c:pt idx="197">
                    <c:v>23:34</c:v>
                  </c:pt>
                  <c:pt idx="198">
                    <c:v>23:43</c:v>
                  </c:pt>
                  <c:pt idx="199">
                    <c:v>23:45</c:v>
                  </c:pt>
                  <c:pt idx="200">
                    <c:v>23:49</c:v>
                  </c:pt>
                  <c:pt idx="201">
                    <c:v>23:51</c:v>
                  </c:pt>
                  <c:pt idx="202">
                    <c:v>23:52</c:v>
                  </c:pt>
                  <c:pt idx="203">
                    <c:v>23:55</c:v>
                  </c:pt>
                  <c:pt idx="204">
                    <c:v>00:06</c:v>
                  </c:pt>
                  <c:pt idx="205">
                    <c:v>00:10</c:v>
                  </c:pt>
                  <c:pt idx="206">
                    <c:v>00:15</c:v>
                  </c:pt>
                  <c:pt idx="207">
                    <c:v>00:16</c:v>
                  </c:pt>
                  <c:pt idx="208">
                    <c:v>00:19</c:v>
                  </c:pt>
                  <c:pt idx="209">
                    <c:v>00:26</c:v>
                  </c:pt>
                  <c:pt idx="210">
                    <c:v>00:30</c:v>
                  </c:pt>
                  <c:pt idx="211">
                    <c:v>00:31</c:v>
                  </c:pt>
                  <c:pt idx="212">
                    <c:v>00:36</c:v>
                  </c:pt>
                  <c:pt idx="213">
                    <c:v>00:37</c:v>
                  </c:pt>
                  <c:pt idx="214">
                    <c:v>00:47</c:v>
                  </c:pt>
                  <c:pt idx="215">
                    <c:v>01:02</c:v>
                  </c:pt>
                  <c:pt idx="216">
                    <c:v>01:05</c:v>
                  </c:pt>
                  <c:pt idx="217">
                    <c:v>01:15</c:v>
                  </c:pt>
                  <c:pt idx="218">
                    <c:v>01:16</c:v>
                  </c:pt>
                  <c:pt idx="219">
                    <c:v>01:18</c:v>
                  </c:pt>
                  <c:pt idx="220">
                    <c:v>01:26</c:v>
                  </c:pt>
                  <c:pt idx="221">
                    <c:v>01:42</c:v>
                  </c:pt>
                  <c:pt idx="222">
                    <c:v>01:48</c:v>
                  </c:pt>
                  <c:pt idx="223">
                    <c:v>01:49</c:v>
                  </c:pt>
                  <c:pt idx="224">
                    <c:v>01:56</c:v>
                  </c:pt>
                  <c:pt idx="225">
                    <c:v>02:00</c:v>
                  </c:pt>
                  <c:pt idx="226">
                    <c:v>02:04</c:v>
                  </c:pt>
                  <c:pt idx="227">
                    <c:v>02:06</c:v>
                  </c:pt>
                  <c:pt idx="228">
                    <c:v>02:08</c:v>
                  </c:pt>
                  <c:pt idx="229">
                    <c:v>02:17</c:v>
                  </c:pt>
                  <c:pt idx="230">
                    <c:v>02:33</c:v>
                  </c:pt>
                  <c:pt idx="231">
                    <c:v>02:37</c:v>
                  </c:pt>
                  <c:pt idx="232">
                    <c:v>02:43</c:v>
                  </c:pt>
                  <c:pt idx="233">
                    <c:v>02:52</c:v>
                  </c:pt>
                  <c:pt idx="234">
                    <c:v>02:55</c:v>
                  </c:pt>
                  <c:pt idx="235">
                    <c:v>03:16</c:v>
                  </c:pt>
                  <c:pt idx="236">
                    <c:v>03:18</c:v>
                  </c:pt>
                  <c:pt idx="237">
                    <c:v>03:22</c:v>
                  </c:pt>
                  <c:pt idx="238">
                    <c:v>03:32</c:v>
                  </c:pt>
                  <c:pt idx="239">
                    <c:v>03:33</c:v>
                  </c:pt>
                  <c:pt idx="240">
                    <c:v>03:44</c:v>
                  </c:pt>
                  <c:pt idx="241">
                    <c:v>03:53</c:v>
                  </c:pt>
                  <c:pt idx="242">
                    <c:v>03:56</c:v>
                  </c:pt>
                  <c:pt idx="243">
                    <c:v>03:57</c:v>
                  </c:pt>
                  <c:pt idx="244">
                    <c:v>04:02</c:v>
                  </c:pt>
                  <c:pt idx="245">
                    <c:v>04:05</c:v>
                  </c:pt>
                  <c:pt idx="246">
                    <c:v>04:11</c:v>
                  </c:pt>
                  <c:pt idx="247">
                    <c:v>04:20</c:v>
                  </c:pt>
                  <c:pt idx="248">
                    <c:v>04:22</c:v>
                  </c:pt>
                  <c:pt idx="249">
                    <c:v>04:26</c:v>
                  </c:pt>
                  <c:pt idx="250">
                    <c:v>04:27</c:v>
                  </c:pt>
                  <c:pt idx="251">
                    <c:v>04:30</c:v>
                  </c:pt>
                  <c:pt idx="252">
                    <c:v>04:37</c:v>
                  </c:pt>
                  <c:pt idx="253">
                    <c:v>04:47</c:v>
                  </c:pt>
                  <c:pt idx="254">
                    <c:v>04:52</c:v>
                  </c:pt>
                  <c:pt idx="255">
                    <c:v>05:00</c:v>
                  </c:pt>
                  <c:pt idx="256">
                    <c:v>05:01</c:v>
                  </c:pt>
                  <c:pt idx="257">
                    <c:v>05:02</c:v>
                  </c:pt>
                  <c:pt idx="258">
                    <c:v>05:08</c:v>
                  </c:pt>
                  <c:pt idx="259">
                    <c:v>05:14</c:v>
                  </c:pt>
                  <c:pt idx="260">
                    <c:v>05:22</c:v>
                  </c:pt>
                  <c:pt idx="261">
                    <c:v>05:24</c:v>
                  </c:pt>
                  <c:pt idx="262">
                    <c:v>05:39</c:v>
                  </c:pt>
                  <c:pt idx="263">
                    <c:v>05:45</c:v>
                  </c:pt>
                  <c:pt idx="264">
                    <c:v>05:47</c:v>
                  </c:pt>
                  <c:pt idx="265">
                    <c:v>05:55</c:v>
                  </c:pt>
                  <c:pt idx="266">
                    <c:v>06:09</c:v>
                  </c:pt>
                  <c:pt idx="267">
                    <c:v>06:15</c:v>
                  </c:pt>
                  <c:pt idx="268">
                    <c:v>06:16</c:v>
                  </c:pt>
                  <c:pt idx="269">
                    <c:v>06:21</c:v>
                  </c:pt>
                  <c:pt idx="270">
                    <c:v>06:24</c:v>
                  </c:pt>
                  <c:pt idx="271">
                    <c:v>06:26</c:v>
                  </c:pt>
                  <c:pt idx="272">
                    <c:v>06:27</c:v>
                  </c:pt>
                  <c:pt idx="273">
                    <c:v>06:34</c:v>
                  </c:pt>
                  <c:pt idx="274">
                    <c:v>06:36</c:v>
                  </c:pt>
                  <c:pt idx="275">
                    <c:v>06:37</c:v>
                  </c:pt>
                  <c:pt idx="276">
                    <c:v>06:57</c:v>
                  </c:pt>
                  <c:pt idx="277">
                    <c:v>07:00</c:v>
                  </c:pt>
                  <c:pt idx="278">
                    <c:v>07:06</c:v>
                  </c:pt>
                  <c:pt idx="279">
                    <c:v>07:12</c:v>
                  </c:pt>
                  <c:pt idx="280">
                    <c:v>07:16</c:v>
                  </c:pt>
                  <c:pt idx="281">
                    <c:v>07:17</c:v>
                  </c:pt>
                  <c:pt idx="282">
                    <c:v>07:20</c:v>
                  </c:pt>
                  <c:pt idx="283">
                    <c:v>07:21</c:v>
                  </c:pt>
                  <c:pt idx="284">
                    <c:v>07:29</c:v>
                  </c:pt>
                  <c:pt idx="285">
                    <c:v>07:42</c:v>
                  </c:pt>
                  <c:pt idx="286">
                    <c:v>07:44</c:v>
                  </c:pt>
                  <c:pt idx="287">
                    <c:v>07:52</c:v>
                  </c:pt>
                  <c:pt idx="288">
                    <c:v>07:55</c:v>
                  </c:pt>
                  <c:pt idx="289">
                    <c:v>07:57</c:v>
                  </c:pt>
                </c:lvl>
                <c:lvl>
                  <c:pt idx="0">
                    <c:v>2024-07-26</c:v>
                  </c:pt>
                  <c:pt idx="204">
                    <c:v>2024-07-27</c:v>
                  </c:pt>
                </c:lvl>
              </c:multiLvlStrCache>
            </c:multiLvlStrRef>
          </c:cat>
          <c:val>
            <c:numRef>
              <c:f>0</c:f>
              <c:numCache>
                <c:formatCode>General</c:formatCode>
                <c:ptCount val="290"/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6">
                  <c:v>1</c:v>
                </c:pt>
                <c:pt idx="9">
                  <c:v>1</c:v>
                </c:pt>
                <c:pt idx="12">
                  <c:v>1</c:v>
                </c:pt>
                <c:pt idx="14">
                  <c:v>1</c:v>
                </c:pt>
                <c:pt idx="16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3">
                  <c:v>1</c:v>
                </c:pt>
                <c:pt idx="25">
                  <c:v>1</c:v>
                </c:pt>
                <c:pt idx="27">
                  <c:v>2</c:v>
                </c:pt>
                <c:pt idx="31">
                  <c:v>1</c:v>
                </c:pt>
                <c:pt idx="33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7">
                  <c:v>1</c:v>
                </c:pt>
                <c:pt idx="48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62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70">
                  <c:v>1</c:v>
                </c:pt>
                <c:pt idx="73">
                  <c:v>1</c:v>
                </c:pt>
                <c:pt idx="78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6">
                  <c:v>1</c:v>
                </c:pt>
                <c:pt idx="89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8">
                  <c:v>1</c:v>
                </c:pt>
                <c:pt idx="99">
                  <c:v>1</c:v>
                </c:pt>
                <c:pt idx="102">
                  <c:v>1</c:v>
                </c:pt>
                <c:pt idx="111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7">
                  <c:v>3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2">
                  <c:v>1</c:v>
                </c:pt>
                <c:pt idx="143">
                  <c:v>1</c:v>
                </c:pt>
                <c:pt idx="145">
                  <c:v>1</c:v>
                </c:pt>
                <c:pt idx="147">
                  <c:v>1</c:v>
                </c:pt>
                <c:pt idx="155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9">
                  <c:v>1</c:v>
                </c:pt>
                <c:pt idx="173">
                  <c:v>1</c:v>
                </c:pt>
                <c:pt idx="175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6">
                  <c:v>1</c:v>
                </c:pt>
                <c:pt idx="188">
                  <c:v>1</c:v>
                </c:pt>
                <c:pt idx="189">
                  <c:v>1</c:v>
                </c:pt>
                <c:pt idx="192">
                  <c:v>1</c:v>
                </c:pt>
                <c:pt idx="194">
                  <c:v>1</c:v>
                </c:pt>
                <c:pt idx="196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2">
                  <c:v>1</c:v>
                </c:pt>
                <c:pt idx="214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6">
                  <c:v>1</c:v>
                </c:pt>
                <c:pt idx="229">
                  <c:v>1</c:v>
                </c:pt>
                <c:pt idx="233">
                  <c:v>2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40">
                  <c:v>1</c:v>
                </c:pt>
                <c:pt idx="242">
                  <c:v>1</c:v>
                </c:pt>
                <c:pt idx="245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3">
                  <c:v>2</c:v>
                </c:pt>
                <c:pt idx="260">
                  <c:v>1</c:v>
                </c:pt>
                <c:pt idx="262">
                  <c:v>1</c:v>
                </c:pt>
                <c:pt idx="263">
                  <c:v>2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8">
                  <c:v>1</c:v>
                </c:pt>
                <c:pt idx="269">
                  <c:v>1</c:v>
                </c:pt>
                <c:pt idx="276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3">
                  <c:v>1</c:v>
                </c:pt>
                <c:pt idx="285">
                  <c:v>1</c:v>
                </c:pt>
                <c:pt idx="287">
                  <c:v>1</c:v>
                </c:pt>
                <c:pt idx="289">
                  <c:v>1</c:v>
                </c:pt>
              </c:numCache>
            </c:numRef>
          </c:val>
        </c:ser>
        <c:ser>
          <c:idx val="1"/>
          <c:order val="1"/>
          <c:tx>
            <c:strRef>
              <c:f>label 1</c:f>
              <c:strCache>
                <c:ptCount val="1"/>
                <c:pt idx="0">
                  <c:v>Blocked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categories</c:f>
              <c:multiLvlStrCache>
                <c:ptCount val="290"/>
                <c:lvl>
                  <c:pt idx="0">
                    <c:v>08:00</c:v>
                  </c:pt>
                  <c:pt idx="1">
                    <c:v>08:03</c:v>
                  </c:pt>
                  <c:pt idx="2">
                    <c:v>08:07</c:v>
                  </c:pt>
                  <c:pt idx="3">
                    <c:v>08:10</c:v>
                  </c:pt>
                  <c:pt idx="4">
                    <c:v>08:16</c:v>
                  </c:pt>
                  <c:pt idx="5">
                    <c:v>08:22</c:v>
                  </c:pt>
                  <c:pt idx="6">
                    <c:v>08:35</c:v>
                  </c:pt>
                  <c:pt idx="7">
                    <c:v>08:43</c:v>
                  </c:pt>
                  <c:pt idx="8">
                    <c:v>08:54</c:v>
                  </c:pt>
                  <c:pt idx="9">
                    <c:v>08:55</c:v>
                  </c:pt>
                  <c:pt idx="10">
                    <c:v>08:57</c:v>
                  </c:pt>
                  <c:pt idx="11">
                    <c:v>08:58</c:v>
                  </c:pt>
                  <c:pt idx="12">
                    <c:v>09:04</c:v>
                  </c:pt>
                  <c:pt idx="13">
                    <c:v>09:06</c:v>
                  </c:pt>
                  <c:pt idx="14">
                    <c:v>09:16</c:v>
                  </c:pt>
                  <c:pt idx="15">
                    <c:v>09:22</c:v>
                  </c:pt>
                  <c:pt idx="16">
                    <c:v>09:24</c:v>
                  </c:pt>
                  <c:pt idx="17">
                    <c:v>09:28</c:v>
                  </c:pt>
                  <c:pt idx="18">
                    <c:v>09:31</c:v>
                  </c:pt>
                  <c:pt idx="19">
                    <c:v>09:35</c:v>
                  </c:pt>
                  <c:pt idx="20">
                    <c:v>09:41</c:v>
                  </c:pt>
                  <c:pt idx="21">
                    <c:v>09:56</c:v>
                  </c:pt>
                  <c:pt idx="22">
                    <c:v>10:01</c:v>
                  </c:pt>
                  <c:pt idx="23">
                    <c:v>10:06</c:v>
                  </c:pt>
                  <c:pt idx="24">
                    <c:v>10:19</c:v>
                  </c:pt>
                  <c:pt idx="25">
                    <c:v>10:22</c:v>
                  </c:pt>
                  <c:pt idx="26">
                    <c:v>10:24</c:v>
                  </c:pt>
                  <c:pt idx="27">
                    <c:v>10:25</c:v>
                  </c:pt>
                  <c:pt idx="28">
                    <c:v>10:26</c:v>
                  </c:pt>
                  <c:pt idx="29">
                    <c:v>10:38</c:v>
                  </c:pt>
                  <c:pt idx="30">
                    <c:v>10:39</c:v>
                  </c:pt>
                  <c:pt idx="31">
                    <c:v>10:40</c:v>
                  </c:pt>
                  <c:pt idx="32">
                    <c:v>10:43</c:v>
                  </c:pt>
                  <c:pt idx="33">
                    <c:v>10:45</c:v>
                  </c:pt>
                  <c:pt idx="34">
                    <c:v>10:47</c:v>
                  </c:pt>
                  <c:pt idx="35">
                    <c:v>10:54</c:v>
                  </c:pt>
                  <c:pt idx="36">
                    <c:v>10:57</c:v>
                  </c:pt>
                  <c:pt idx="37">
                    <c:v>11:00</c:v>
                  </c:pt>
                  <c:pt idx="38">
                    <c:v>11:05</c:v>
                  </c:pt>
                  <c:pt idx="39">
                    <c:v>11:16</c:v>
                  </c:pt>
                  <c:pt idx="40">
                    <c:v>11:23</c:v>
                  </c:pt>
                  <c:pt idx="41">
                    <c:v>11:25</c:v>
                  </c:pt>
                  <c:pt idx="42">
                    <c:v>11:26</c:v>
                  </c:pt>
                  <c:pt idx="43">
                    <c:v>11:30</c:v>
                  </c:pt>
                  <c:pt idx="44">
                    <c:v>11:33</c:v>
                  </c:pt>
                  <c:pt idx="45">
                    <c:v>11:34</c:v>
                  </c:pt>
                  <c:pt idx="46">
                    <c:v>11:37</c:v>
                  </c:pt>
                  <c:pt idx="47">
                    <c:v>11:46</c:v>
                  </c:pt>
                  <c:pt idx="48">
                    <c:v>11:53</c:v>
                  </c:pt>
                  <c:pt idx="49">
                    <c:v>11:55</c:v>
                  </c:pt>
                  <c:pt idx="50">
                    <c:v>11:58</c:v>
                  </c:pt>
                  <c:pt idx="51">
                    <c:v>12:00</c:v>
                  </c:pt>
                  <c:pt idx="52">
                    <c:v>12:03</c:v>
                  </c:pt>
                  <c:pt idx="53">
                    <c:v>12:05</c:v>
                  </c:pt>
                  <c:pt idx="54">
                    <c:v>12:07</c:v>
                  </c:pt>
                  <c:pt idx="55">
                    <c:v>12:08</c:v>
                  </c:pt>
                  <c:pt idx="56">
                    <c:v>12:10</c:v>
                  </c:pt>
                  <c:pt idx="57">
                    <c:v>12:12</c:v>
                  </c:pt>
                  <c:pt idx="58">
                    <c:v>12:14</c:v>
                  </c:pt>
                  <c:pt idx="59">
                    <c:v>12:25</c:v>
                  </c:pt>
                  <c:pt idx="60">
                    <c:v>12:28</c:v>
                  </c:pt>
                  <c:pt idx="61">
                    <c:v>12:32</c:v>
                  </c:pt>
                  <c:pt idx="62">
                    <c:v>12:33</c:v>
                  </c:pt>
                  <c:pt idx="63">
                    <c:v>12:42</c:v>
                  </c:pt>
                  <c:pt idx="64">
                    <c:v>12:48</c:v>
                  </c:pt>
                  <c:pt idx="65">
                    <c:v>12:54</c:v>
                  </c:pt>
                  <c:pt idx="66">
                    <c:v>13:05</c:v>
                  </c:pt>
                  <c:pt idx="67">
                    <c:v>13:17</c:v>
                  </c:pt>
                  <c:pt idx="68">
                    <c:v>13:18</c:v>
                  </c:pt>
                  <c:pt idx="69">
                    <c:v>13:22</c:v>
                  </c:pt>
                  <c:pt idx="70">
                    <c:v>13:25</c:v>
                  </c:pt>
                  <c:pt idx="71">
                    <c:v>13:28</c:v>
                  </c:pt>
                  <c:pt idx="72">
                    <c:v>13:29</c:v>
                  </c:pt>
                  <c:pt idx="73">
                    <c:v>13:33</c:v>
                  </c:pt>
                  <c:pt idx="74">
                    <c:v>13:38</c:v>
                  </c:pt>
                  <c:pt idx="75">
                    <c:v>13:41</c:v>
                  </c:pt>
                  <c:pt idx="76">
                    <c:v>13:43</c:v>
                  </c:pt>
                  <c:pt idx="77">
                    <c:v>13:51</c:v>
                  </c:pt>
                  <c:pt idx="78">
                    <c:v>13:57</c:v>
                  </c:pt>
                  <c:pt idx="79">
                    <c:v>14:00</c:v>
                  </c:pt>
                  <c:pt idx="80">
                    <c:v>14:04</c:v>
                  </c:pt>
                  <c:pt idx="81">
                    <c:v>14:11</c:v>
                  </c:pt>
                  <c:pt idx="82">
                    <c:v>14:15</c:v>
                  </c:pt>
                  <c:pt idx="83">
                    <c:v>14:20</c:v>
                  </c:pt>
                  <c:pt idx="84">
                    <c:v>14:30</c:v>
                  </c:pt>
                  <c:pt idx="85">
                    <c:v>14:34</c:v>
                  </c:pt>
                  <c:pt idx="86">
                    <c:v>14:36</c:v>
                  </c:pt>
                  <c:pt idx="87">
                    <c:v>14:39</c:v>
                  </c:pt>
                  <c:pt idx="88">
                    <c:v>14:49</c:v>
                  </c:pt>
                  <c:pt idx="89">
                    <c:v>14:50</c:v>
                  </c:pt>
                  <c:pt idx="90">
                    <c:v>14:57</c:v>
                  </c:pt>
                  <c:pt idx="91">
                    <c:v>14:58</c:v>
                  </c:pt>
                  <c:pt idx="92">
                    <c:v>15:00</c:v>
                  </c:pt>
                  <c:pt idx="93">
                    <c:v>15:01</c:v>
                  </c:pt>
                  <c:pt idx="94">
                    <c:v>15:03</c:v>
                  </c:pt>
                  <c:pt idx="95">
                    <c:v>15:04</c:v>
                  </c:pt>
                  <c:pt idx="96">
                    <c:v>15:08</c:v>
                  </c:pt>
                  <c:pt idx="97">
                    <c:v>15:10</c:v>
                  </c:pt>
                  <c:pt idx="98">
                    <c:v>15:12</c:v>
                  </c:pt>
                  <c:pt idx="99">
                    <c:v>15:17</c:v>
                  </c:pt>
                  <c:pt idx="100">
                    <c:v>15:20</c:v>
                  </c:pt>
                  <c:pt idx="101">
                    <c:v>15:21</c:v>
                  </c:pt>
                  <c:pt idx="102">
                    <c:v>15:26</c:v>
                  </c:pt>
                  <c:pt idx="103">
                    <c:v>15:33</c:v>
                  </c:pt>
                  <c:pt idx="104">
                    <c:v>15:38</c:v>
                  </c:pt>
                  <c:pt idx="105">
                    <c:v>15:43</c:v>
                  </c:pt>
                  <c:pt idx="106">
                    <c:v>15:46</c:v>
                  </c:pt>
                  <c:pt idx="107">
                    <c:v>15:47</c:v>
                  </c:pt>
                  <c:pt idx="108">
                    <c:v>15:55</c:v>
                  </c:pt>
                  <c:pt idx="109">
                    <c:v>15:57</c:v>
                  </c:pt>
                  <c:pt idx="110">
                    <c:v>16:03</c:v>
                  </c:pt>
                  <c:pt idx="111">
                    <c:v>16:04</c:v>
                  </c:pt>
                  <c:pt idx="112">
                    <c:v>16:07</c:v>
                  </c:pt>
                  <c:pt idx="113">
                    <c:v>16:12</c:v>
                  </c:pt>
                  <c:pt idx="114">
                    <c:v>16:13</c:v>
                  </c:pt>
                  <c:pt idx="115">
                    <c:v>16:20</c:v>
                  </c:pt>
                  <c:pt idx="116">
                    <c:v>16:24</c:v>
                  </c:pt>
                  <c:pt idx="117">
                    <c:v>16:28</c:v>
                  </c:pt>
                  <c:pt idx="118">
                    <c:v>16:30</c:v>
                  </c:pt>
                  <c:pt idx="119">
                    <c:v>16:31</c:v>
                  </c:pt>
                  <c:pt idx="120">
                    <c:v>16:36</c:v>
                  </c:pt>
                  <c:pt idx="121">
                    <c:v>16:46</c:v>
                  </c:pt>
                  <c:pt idx="122">
                    <c:v>16:54</c:v>
                  </c:pt>
                  <c:pt idx="123">
                    <c:v>16:59</c:v>
                  </c:pt>
                  <c:pt idx="124">
                    <c:v>17:01</c:v>
                  </c:pt>
                  <c:pt idx="125">
                    <c:v>17:03</c:v>
                  </c:pt>
                  <c:pt idx="126">
                    <c:v>17:12</c:v>
                  </c:pt>
                  <c:pt idx="127">
                    <c:v>17:13</c:v>
                  </c:pt>
                  <c:pt idx="128">
                    <c:v>17:17</c:v>
                  </c:pt>
                  <c:pt idx="129">
                    <c:v>17:47</c:v>
                  </c:pt>
                  <c:pt idx="130">
                    <c:v>17:48</c:v>
                  </c:pt>
                  <c:pt idx="131">
                    <c:v>17:50</c:v>
                  </c:pt>
                  <c:pt idx="132">
                    <c:v>17:55</c:v>
                  </c:pt>
                  <c:pt idx="133">
                    <c:v>18:04</c:v>
                  </c:pt>
                  <c:pt idx="134">
                    <c:v>18:12</c:v>
                  </c:pt>
                  <c:pt idx="135">
                    <c:v>18:14</c:v>
                  </c:pt>
                  <c:pt idx="136">
                    <c:v>18:16</c:v>
                  </c:pt>
                  <c:pt idx="137">
                    <c:v>18:17</c:v>
                  </c:pt>
                  <c:pt idx="138">
                    <c:v>18:33</c:v>
                  </c:pt>
                  <c:pt idx="139">
                    <c:v>18:41</c:v>
                  </c:pt>
                  <c:pt idx="140">
                    <c:v>18:45</c:v>
                  </c:pt>
                  <c:pt idx="141">
                    <c:v>18:51</c:v>
                  </c:pt>
                  <c:pt idx="142">
                    <c:v>18:52</c:v>
                  </c:pt>
                  <c:pt idx="143">
                    <c:v>18:54</c:v>
                  </c:pt>
                  <c:pt idx="144">
                    <c:v>18:56</c:v>
                  </c:pt>
                  <c:pt idx="145">
                    <c:v>18:58</c:v>
                  </c:pt>
                  <c:pt idx="146">
                    <c:v>19:04</c:v>
                  </c:pt>
                  <c:pt idx="147">
                    <c:v>19:07</c:v>
                  </c:pt>
                  <c:pt idx="148">
                    <c:v>19:13</c:v>
                  </c:pt>
                  <c:pt idx="149">
                    <c:v>19:14</c:v>
                  </c:pt>
                  <c:pt idx="150">
                    <c:v>19:22</c:v>
                  </c:pt>
                  <c:pt idx="151">
                    <c:v>19:23</c:v>
                  </c:pt>
                  <c:pt idx="152">
                    <c:v>19:24</c:v>
                  </c:pt>
                  <c:pt idx="153">
                    <c:v>19:29</c:v>
                  </c:pt>
                  <c:pt idx="154">
                    <c:v>19:31</c:v>
                  </c:pt>
                  <c:pt idx="155">
                    <c:v>19:33</c:v>
                  </c:pt>
                  <c:pt idx="156">
                    <c:v>19:36</c:v>
                  </c:pt>
                  <c:pt idx="157">
                    <c:v>19:40</c:v>
                  </c:pt>
                  <c:pt idx="158">
                    <c:v>19:42</c:v>
                  </c:pt>
                  <c:pt idx="159">
                    <c:v>19:55</c:v>
                  </c:pt>
                  <c:pt idx="160">
                    <c:v>19:57</c:v>
                  </c:pt>
                  <c:pt idx="161">
                    <c:v>19:59</c:v>
                  </c:pt>
                  <c:pt idx="162">
                    <c:v>20:00</c:v>
                  </c:pt>
                  <c:pt idx="163">
                    <c:v>20:05</c:v>
                  </c:pt>
                  <c:pt idx="164">
                    <c:v>20:08</c:v>
                  </c:pt>
                  <c:pt idx="165">
                    <c:v>20:09</c:v>
                  </c:pt>
                  <c:pt idx="166">
                    <c:v>20:11</c:v>
                  </c:pt>
                  <c:pt idx="167">
                    <c:v>20:12</c:v>
                  </c:pt>
                  <c:pt idx="168">
                    <c:v>20:20</c:v>
                  </c:pt>
                  <c:pt idx="169">
                    <c:v>20:22</c:v>
                  </c:pt>
                  <c:pt idx="170">
                    <c:v>20:25</c:v>
                  </c:pt>
                  <c:pt idx="171">
                    <c:v>20:30</c:v>
                  </c:pt>
                  <c:pt idx="172">
                    <c:v>20:36</c:v>
                  </c:pt>
                  <c:pt idx="173">
                    <c:v>20:40</c:v>
                  </c:pt>
                  <c:pt idx="174">
                    <c:v>20:41</c:v>
                  </c:pt>
                  <c:pt idx="175">
                    <c:v>20:50</c:v>
                  </c:pt>
                  <c:pt idx="176">
                    <c:v>20:53</c:v>
                  </c:pt>
                  <c:pt idx="177">
                    <c:v>21:06</c:v>
                  </c:pt>
                  <c:pt idx="178">
                    <c:v>21:17</c:v>
                  </c:pt>
                  <c:pt idx="179">
                    <c:v>21:23</c:v>
                  </c:pt>
                  <c:pt idx="180">
                    <c:v>21:26</c:v>
                  </c:pt>
                  <c:pt idx="181">
                    <c:v>21:38</c:v>
                  </c:pt>
                  <c:pt idx="182">
                    <c:v>21:40</c:v>
                  </c:pt>
                  <c:pt idx="183">
                    <c:v>21:49</c:v>
                  </c:pt>
                  <c:pt idx="184">
                    <c:v>21:53</c:v>
                  </c:pt>
                  <c:pt idx="185">
                    <c:v>21:56</c:v>
                  </c:pt>
                  <c:pt idx="186">
                    <c:v>21:58</c:v>
                  </c:pt>
                  <c:pt idx="187">
                    <c:v>22:04</c:v>
                  </c:pt>
                  <c:pt idx="188">
                    <c:v>22:08</c:v>
                  </c:pt>
                  <c:pt idx="189">
                    <c:v>22:24</c:v>
                  </c:pt>
                  <c:pt idx="190">
                    <c:v>22:39</c:v>
                  </c:pt>
                  <c:pt idx="191">
                    <c:v>22:53</c:v>
                  </c:pt>
                  <c:pt idx="192">
                    <c:v>22:55</c:v>
                  </c:pt>
                  <c:pt idx="193">
                    <c:v>22:56</c:v>
                  </c:pt>
                  <c:pt idx="194">
                    <c:v>23:19</c:v>
                  </c:pt>
                  <c:pt idx="195">
                    <c:v>23:20</c:v>
                  </c:pt>
                  <c:pt idx="196">
                    <c:v>23:33</c:v>
                  </c:pt>
                  <c:pt idx="197">
                    <c:v>23:34</c:v>
                  </c:pt>
                  <c:pt idx="198">
                    <c:v>23:43</c:v>
                  </c:pt>
                  <c:pt idx="199">
                    <c:v>23:45</c:v>
                  </c:pt>
                  <c:pt idx="200">
                    <c:v>23:49</c:v>
                  </c:pt>
                  <c:pt idx="201">
                    <c:v>23:51</c:v>
                  </c:pt>
                  <c:pt idx="202">
                    <c:v>23:52</c:v>
                  </c:pt>
                  <c:pt idx="203">
                    <c:v>23:55</c:v>
                  </c:pt>
                  <c:pt idx="204">
                    <c:v>00:06</c:v>
                  </c:pt>
                  <c:pt idx="205">
                    <c:v>00:10</c:v>
                  </c:pt>
                  <c:pt idx="206">
                    <c:v>00:15</c:v>
                  </c:pt>
                  <c:pt idx="207">
                    <c:v>00:16</c:v>
                  </c:pt>
                  <c:pt idx="208">
                    <c:v>00:19</c:v>
                  </c:pt>
                  <c:pt idx="209">
                    <c:v>00:26</c:v>
                  </c:pt>
                  <c:pt idx="210">
                    <c:v>00:30</c:v>
                  </c:pt>
                  <c:pt idx="211">
                    <c:v>00:31</c:v>
                  </c:pt>
                  <c:pt idx="212">
                    <c:v>00:36</c:v>
                  </c:pt>
                  <c:pt idx="213">
                    <c:v>00:37</c:v>
                  </c:pt>
                  <c:pt idx="214">
                    <c:v>00:47</c:v>
                  </c:pt>
                  <c:pt idx="215">
                    <c:v>01:02</c:v>
                  </c:pt>
                  <c:pt idx="216">
                    <c:v>01:05</c:v>
                  </c:pt>
                  <c:pt idx="217">
                    <c:v>01:15</c:v>
                  </c:pt>
                  <c:pt idx="218">
                    <c:v>01:16</c:v>
                  </c:pt>
                  <c:pt idx="219">
                    <c:v>01:18</c:v>
                  </c:pt>
                  <c:pt idx="220">
                    <c:v>01:26</c:v>
                  </c:pt>
                  <c:pt idx="221">
                    <c:v>01:42</c:v>
                  </c:pt>
                  <c:pt idx="222">
                    <c:v>01:48</c:v>
                  </c:pt>
                  <c:pt idx="223">
                    <c:v>01:49</c:v>
                  </c:pt>
                  <c:pt idx="224">
                    <c:v>01:56</c:v>
                  </c:pt>
                  <c:pt idx="225">
                    <c:v>02:00</c:v>
                  </c:pt>
                  <c:pt idx="226">
                    <c:v>02:04</c:v>
                  </c:pt>
                  <c:pt idx="227">
                    <c:v>02:06</c:v>
                  </c:pt>
                  <c:pt idx="228">
                    <c:v>02:08</c:v>
                  </c:pt>
                  <c:pt idx="229">
                    <c:v>02:17</c:v>
                  </c:pt>
                  <c:pt idx="230">
                    <c:v>02:33</c:v>
                  </c:pt>
                  <c:pt idx="231">
                    <c:v>02:37</c:v>
                  </c:pt>
                  <c:pt idx="232">
                    <c:v>02:43</c:v>
                  </c:pt>
                  <c:pt idx="233">
                    <c:v>02:52</c:v>
                  </c:pt>
                  <c:pt idx="234">
                    <c:v>02:55</c:v>
                  </c:pt>
                  <c:pt idx="235">
                    <c:v>03:16</c:v>
                  </c:pt>
                  <c:pt idx="236">
                    <c:v>03:18</c:v>
                  </c:pt>
                  <c:pt idx="237">
                    <c:v>03:22</c:v>
                  </c:pt>
                  <c:pt idx="238">
                    <c:v>03:32</c:v>
                  </c:pt>
                  <c:pt idx="239">
                    <c:v>03:33</c:v>
                  </c:pt>
                  <c:pt idx="240">
                    <c:v>03:44</c:v>
                  </c:pt>
                  <c:pt idx="241">
                    <c:v>03:53</c:v>
                  </c:pt>
                  <c:pt idx="242">
                    <c:v>03:56</c:v>
                  </c:pt>
                  <c:pt idx="243">
                    <c:v>03:57</c:v>
                  </c:pt>
                  <c:pt idx="244">
                    <c:v>04:02</c:v>
                  </c:pt>
                  <c:pt idx="245">
                    <c:v>04:05</c:v>
                  </c:pt>
                  <c:pt idx="246">
                    <c:v>04:11</c:v>
                  </c:pt>
                  <c:pt idx="247">
                    <c:v>04:20</c:v>
                  </c:pt>
                  <c:pt idx="248">
                    <c:v>04:22</c:v>
                  </c:pt>
                  <c:pt idx="249">
                    <c:v>04:26</c:v>
                  </c:pt>
                  <c:pt idx="250">
                    <c:v>04:27</c:v>
                  </c:pt>
                  <c:pt idx="251">
                    <c:v>04:30</c:v>
                  </c:pt>
                  <c:pt idx="252">
                    <c:v>04:37</c:v>
                  </c:pt>
                  <c:pt idx="253">
                    <c:v>04:47</c:v>
                  </c:pt>
                  <c:pt idx="254">
                    <c:v>04:52</c:v>
                  </c:pt>
                  <c:pt idx="255">
                    <c:v>05:00</c:v>
                  </c:pt>
                  <c:pt idx="256">
                    <c:v>05:01</c:v>
                  </c:pt>
                  <c:pt idx="257">
                    <c:v>05:02</c:v>
                  </c:pt>
                  <c:pt idx="258">
                    <c:v>05:08</c:v>
                  </c:pt>
                  <c:pt idx="259">
                    <c:v>05:14</c:v>
                  </c:pt>
                  <c:pt idx="260">
                    <c:v>05:22</c:v>
                  </c:pt>
                  <c:pt idx="261">
                    <c:v>05:24</c:v>
                  </c:pt>
                  <c:pt idx="262">
                    <c:v>05:39</c:v>
                  </c:pt>
                  <c:pt idx="263">
                    <c:v>05:45</c:v>
                  </c:pt>
                  <c:pt idx="264">
                    <c:v>05:47</c:v>
                  </c:pt>
                  <c:pt idx="265">
                    <c:v>05:55</c:v>
                  </c:pt>
                  <c:pt idx="266">
                    <c:v>06:09</c:v>
                  </c:pt>
                  <c:pt idx="267">
                    <c:v>06:15</c:v>
                  </c:pt>
                  <c:pt idx="268">
                    <c:v>06:16</c:v>
                  </c:pt>
                  <c:pt idx="269">
                    <c:v>06:21</c:v>
                  </c:pt>
                  <c:pt idx="270">
                    <c:v>06:24</c:v>
                  </c:pt>
                  <c:pt idx="271">
                    <c:v>06:26</c:v>
                  </c:pt>
                  <c:pt idx="272">
                    <c:v>06:27</c:v>
                  </c:pt>
                  <c:pt idx="273">
                    <c:v>06:34</c:v>
                  </c:pt>
                  <c:pt idx="274">
                    <c:v>06:36</c:v>
                  </c:pt>
                  <c:pt idx="275">
                    <c:v>06:37</c:v>
                  </c:pt>
                  <c:pt idx="276">
                    <c:v>06:57</c:v>
                  </c:pt>
                  <c:pt idx="277">
                    <c:v>07:00</c:v>
                  </c:pt>
                  <c:pt idx="278">
                    <c:v>07:06</c:v>
                  </c:pt>
                  <c:pt idx="279">
                    <c:v>07:12</c:v>
                  </c:pt>
                  <c:pt idx="280">
                    <c:v>07:16</c:v>
                  </c:pt>
                  <c:pt idx="281">
                    <c:v>07:17</c:v>
                  </c:pt>
                  <c:pt idx="282">
                    <c:v>07:20</c:v>
                  </c:pt>
                  <c:pt idx="283">
                    <c:v>07:21</c:v>
                  </c:pt>
                  <c:pt idx="284">
                    <c:v>07:29</c:v>
                  </c:pt>
                  <c:pt idx="285">
                    <c:v>07:42</c:v>
                  </c:pt>
                  <c:pt idx="286">
                    <c:v>07:44</c:v>
                  </c:pt>
                  <c:pt idx="287">
                    <c:v>07:52</c:v>
                  </c:pt>
                  <c:pt idx="288">
                    <c:v>07:55</c:v>
                  </c:pt>
                  <c:pt idx="289">
                    <c:v>07:57</c:v>
                  </c:pt>
                </c:lvl>
                <c:lvl>
                  <c:pt idx="0">
                    <c:v>2024-07-26</c:v>
                  </c:pt>
                  <c:pt idx="204">
                    <c:v>2024-07-27</c:v>
                  </c:pt>
                </c:lvl>
              </c:multiLvlStrCache>
            </c:multiLvlStrRef>
          </c:cat>
          <c:val>
            <c:numRef>
              <c:f>1</c:f>
              <c:numCache>
                <c:formatCode>General</c:formatCode>
                <c:ptCount val="290"/>
                <c:pt idx="0">
                  <c:v>1</c:v>
                </c:pt>
                <c:pt idx="5">
                  <c:v>1</c:v>
                </c:pt>
                <c:pt idx="7">
                  <c:v>1</c:v>
                </c:pt>
                <c:pt idx="8">
                  <c:v>1</c:v>
                </c:pt>
                <c:pt idx="10">
                  <c:v>1</c:v>
                </c:pt>
                <c:pt idx="11">
                  <c:v>1</c:v>
                </c:pt>
                <c:pt idx="13">
                  <c:v>1</c:v>
                </c:pt>
                <c:pt idx="15">
                  <c:v>1</c:v>
                </c:pt>
                <c:pt idx="17">
                  <c:v>1</c:v>
                </c:pt>
                <c:pt idx="21">
                  <c:v>1</c:v>
                </c:pt>
                <c:pt idx="22">
                  <c:v>1</c:v>
                </c:pt>
                <c:pt idx="24">
                  <c:v>1</c:v>
                </c:pt>
                <c:pt idx="26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2">
                  <c:v>1</c:v>
                </c:pt>
                <c:pt idx="34">
                  <c:v>1</c:v>
                </c:pt>
                <c:pt idx="35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3">
                  <c:v>2</c:v>
                </c:pt>
                <c:pt idx="64">
                  <c:v>1</c:v>
                </c:pt>
                <c:pt idx="68">
                  <c:v>1</c:v>
                </c:pt>
                <c:pt idx="69">
                  <c:v>2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9">
                  <c:v>1</c:v>
                </c:pt>
                <c:pt idx="84">
                  <c:v>1</c:v>
                </c:pt>
                <c:pt idx="85">
                  <c:v>1</c:v>
                </c:pt>
                <c:pt idx="87">
                  <c:v>1</c:v>
                </c:pt>
                <c:pt idx="88">
                  <c:v>1</c:v>
                </c:pt>
                <c:pt idx="90">
                  <c:v>1</c:v>
                </c:pt>
                <c:pt idx="91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100">
                  <c:v>1</c:v>
                </c:pt>
                <c:pt idx="101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2">
                  <c:v>1</c:v>
                </c:pt>
                <c:pt idx="113">
                  <c:v>1</c:v>
                </c:pt>
                <c:pt idx="118">
                  <c:v>1</c:v>
                </c:pt>
                <c:pt idx="119">
                  <c:v>2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9">
                  <c:v>1</c:v>
                </c:pt>
                <c:pt idx="141">
                  <c:v>1</c:v>
                </c:pt>
                <c:pt idx="144">
                  <c:v>1</c:v>
                </c:pt>
                <c:pt idx="146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6">
                  <c:v>1</c:v>
                </c:pt>
                <c:pt idx="157">
                  <c:v>1</c:v>
                </c:pt>
                <c:pt idx="164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4">
                  <c:v>1</c:v>
                </c:pt>
                <c:pt idx="176">
                  <c:v>1</c:v>
                </c:pt>
                <c:pt idx="180">
                  <c:v>1</c:v>
                </c:pt>
                <c:pt idx="185">
                  <c:v>1</c:v>
                </c:pt>
                <c:pt idx="187">
                  <c:v>1</c:v>
                </c:pt>
                <c:pt idx="190">
                  <c:v>1</c:v>
                </c:pt>
                <c:pt idx="191">
                  <c:v>1</c:v>
                </c:pt>
                <c:pt idx="193">
                  <c:v>1</c:v>
                </c:pt>
                <c:pt idx="195">
                  <c:v>1</c:v>
                </c:pt>
                <c:pt idx="197">
                  <c:v>1</c:v>
                </c:pt>
                <c:pt idx="198">
                  <c:v>1</c:v>
                </c:pt>
                <c:pt idx="201">
                  <c:v>1</c:v>
                </c:pt>
                <c:pt idx="202">
                  <c:v>1</c:v>
                </c:pt>
                <c:pt idx="205">
                  <c:v>1</c:v>
                </c:pt>
                <c:pt idx="206">
                  <c:v>1</c:v>
                </c:pt>
                <c:pt idx="211">
                  <c:v>1</c:v>
                </c:pt>
                <c:pt idx="213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2</c:v>
                </c:pt>
                <c:pt idx="218">
                  <c:v>1</c:v>
                </c:pt>
                <c:pt idx="224">
                  <c:v>1</c:v>
                </c:pt>
                <c:pt idx="225">
                  <c:v>1</c:v>
                </c:pt>
                <c:pt idx="227">
                  <c:v>1</c:v>
                </c:pt>
                <c:pt idx="228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4">
                  <c:v>1</c:v>
                </c:pt>
                <c:pt idx="238">
                  <c:v>1</c:v>
                </c:pt>
                <c:pt idx="239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6">
                  <c:v>2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2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1">
                  <c:v>1</c:v>
                </c:pt>
                <c:pt idx="267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2</c:v>
                </c:pt>
                <c:pt idx="277">
                  <c:v>1</c:v>
                </c:pt>
                <c:pt idx="279">
                  <c:v>1</c:v>
                </c:pt>
                <c:pt idx="282">
                  <c:v>1</c:v>
                </c:pt>
                <c:pt idx="284">
                  <c:v>1</c:v>
                </c:pt>
                <c:pt idx="286">
                  <c:v>1</c:v>
                </c:pt>
                <c:pt idx="288">
                  <c:v>1</c:v>
                </c:pt>
              </c:numCache>
            </c:numRef>
          </c:val>
        </c:ser>
        <c:gapWidth val="100"/>
        <c:shape val="cone"/>
        <c:axId val="85129964"/>
        <c:axId val="1430515"/>
        <c:axId val="0"/>
      </c:bar3DChart>
      <c:catAx>
        <c:axId val="8512996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9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rPr>
                  <a:t>Date &amp; Time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hh:mm\ AM/PM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7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1430515"/>
        <c:crosses val="autoZero"/>
        <c:auto val="1"/>
        <c:lblAlgn val="ctr"/>
        <c:lblOffset val="100"/>
        <c:noMultiLvlLbl val="0"/>
      </c:catAx>
      <c:valAx>
        <c:axId val="143051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9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rPr>
                  <a:t>Count</a:t>
                </a:r>
              </a:p>
            </c:rich>
          </c:tx>
          <c:layout>
            <c:manualLayout>
              <c:xMode val="edge"/>
              <c:yMode val="edge"/>
              <c:x val="0.0224362156259307"/>
              <c:y val="0.422557585385226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85129964"/>
        <c:crosses val="autoZero"/>
        <c:crossBetween val="between"/>
      </c:valAx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gradFill>
      <a:gsLst>
        <a:gs pos="0">
          <a:srgbClr val="b4c7dc"/>
        </a:gs>
        <a:gs pos="100000">
          <a:srgbClr val="ffd7d7"/>
        </a:gs>
      </a:gsLst>
      <a:path path="rect">
        <a:fillToRect l="50000" t="50000" r="50000" b="50000"/>
      </a:path>
    </a:gra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sz="1300" strike="noStrike" u="none">
                <a:uFillTx/>
                <a:latin typeface="Arial"/>
              </a:rPr>
              <a:t>Daily Firewall Logs</a:t>
            </a:r>
          </a:p>
          <a:p>
            <a:pPr>
              <a:defRPr b="0" sz="1300" strike="noStrike" u="none">
                <a:uFillTx/>
                <a:latin typeface="Arial"/>
              </a:defRPr>
            </a:pPr>
            <a:r>
              <a:rPr b="0" sz="1100" strike="noStrike" u="none">
                <a:uFillTx/>
                <a:latin typeface="Arial"/>
              </a:rPr>
              <a:t># of Allowed and Blocked IPs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pt@label 0</c:f>
              <c:strCache>
                <c:ptCount val="1"/>
                <c:pt idx="0">
                  <c:v>Allowed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pt@categories</c:f>
              <c:strCache>
                <c:ptCount val="2"/>
                <c:pt idx="0">
                  <c:v>2024-07-26</c:v>
                </c:pt>
                <c:pt idx="1">
                  <c:v>2024-07-27</c:v>
                </c:pt>
              </c:strCache>
            </c:strRef>
          </c:cat>
          <c:val>
            <c:numRef>
              <c:f>pt@data 0</c:f>
              <c:numCache>
                <c:formatCode>General</c:formatCode>
                <c:ptCount val="2"/>
                <c:pt idx="0">
                  <c:v>159</c:v>
                </c:pt>
                <c:pt idx="1">
                  <c:v>79</c:v>
                </c:pt>
              </c:numCache>
            </c:numRef>
          </c:val>
        </c:ser>
        <c:ser>
          <c:idx val="1"/>
          <c:order val="1"/>
          <c:tx>
            <c:strRef>
              <c:f>pt@label 1</c:f>
              <c:strCache>
                <c:ptCount val="1"/>
                <c:pt idx="0">
                  <c:v>Blocked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pt@categories</c:f>
              <c:strCache>
                <c:ptCount val="2"/>
                <c:pt idx="0">
                  <c:v>2024-07-26</c:v>
                </c:pt>
                <c:pt idx="1">
                  <c:v>2024-07-27</c:v>
                </c:pt>
              </c:strCache>
            </c:strRef>
          </c:cat>
          <c:val>
            <c:numRef>
              <c:f>pt@data 1</c:f>
              <c:numCache>
                <c:formatCode>General</c:formatCode>
                <c:ptCount val="2"/>
                <c:pt idx="0">
                  <c:v>180</c:v>
                </c:pt>
                <c:pt idx="1">
                  <c:v>82</c:v>
                </c:pt>
              </c:numCache>
            </c:numRef>
          </c:val>
        </c:ser>
        <c:gapWidth val="100"/>
        <c:overlap val="0"/>
        <c:axId val="93777602"/>
        <c:axId val="43398228"/>
      </c:barChart>
      <c:catAx>
        <c:axId val="9377760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900" strike="noStrike" u="none">
                    <a:uFillTx/>
                    <a:latin typeface="Arial"/>
                  </a:rPr>
                  <a:t>Date (YYYY-MM-DD)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43398228"/>
        <c:crosses val="autoZero"/>
        <c:auto val="1"/>
        <c:lblAlgn val="ctr"/>
        <c:lblOffset val="100"/>
        <c:noMultiLvlLbl val="0"/>
      </c:catAx>
      <c:valAx>
        <c:axId val="4339822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900" strike="noStrike" u="none">
                    <a:uFillTx/>
                    <a:latin typeface="Arial"/>
                  </a:rPr>
                  <a:t>Total Count (#)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93777602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300" strike="noStrike" u="none">
                <a:solidFill>
                  <a:srgbClr val="1a237e"/>
                </a:solidFill>
                <a:uFillTx/>
                <a:latin typeface="Arial"/>
              </a:rPr>
              <a:t>Daily Firewall Logs</a:t>
            </a:r>
          </a:p>
          <a:p>
            <a:pPr>
              <a:defRPr b="0" sz="1300" strike="noStrike" u="none">
                <a:uFillTx/>
                <a:latin typeface="Arial"/>
              </a:defRPr>
            </a:pPr>
            <a:r>
              <a:rPr b="1" sz="1100" strike="noStrike" u="none">
                <a:solidFill>
                  <a:srgbClr val="1a237e"/>
                </a:solidFill>
                <a:uFillTx/>
                <a:latin typeface="Arial"/>
              </a:rPr>
              <a:t># of Allowed and Blocked IPs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label 0</c:f>
              <c:strCache>
                <c:ptCount val="1"/>
                <c:pt idx="0">
                  <c:v>Allowed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2"/>
                <c:pt idx="0">
                  <c:v>2024-07-26</c:v>
                </c:pt>
                <c:pt idx="1">
                  <c:v>2024-07-27</c:v>
                </c:pt>
              </c:strCache>
            </c:strRef>
          </c:cat>
          <c:val>
            <c:numRef>
              <c:f>0</c:f>
              <c:numCache>
                <c:formatCode>General</c:formatCode>
                <c:ptCount val="2"/>
                <c:pt idx="0">
                  <c:v>159</c:v>
                </c:pt>
                <c:pt idx="1">
                  <c:v>79</c:v>
                </c:pt>
              </c:numCache>
            </c:numRef>
          </c:val>
        </c:ser>
        <c:ser>
          <c:idx val="1"/>
          <c:order val="1"/>
          <c:tx>
            <c:strRef>
              <c:f>label 1</c:f>
              <c:strCache>
                <c:ptCount val="1"/>
                <c:pt idx="0">
                  <c:v>Blocked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2"/>
                <c:pt idx="0">
                  <c:v>2024-07-26</c:v>
                </c:pt>
                <c:pt idx="1">
                  <c:v>2024-07-27</c:v>
                </c:pt>
              </c:strCache>
            </c:strRef>
          </c:cat>
          <c:val>
            <c:numRef>
              <c:f>1</c:f>
              <c:numCache>
                <c:formatCode>General</c:formatCode>
                <c:ptCount val="2"/>
                <c:pt idx="0">
                  <c:v>180</c:v>
                </c:pt>
                <c:pt idx="1">
                  <c:v>82</c:v>
                </c:pt>
              </c:numCache>
            </c:numRef>
          </c:val>
        </c:ser>
        <c:gapWidth val="100"/>
        <c:overlap val="0"/>
        <c:axId val="71571990"/>
        <c:axId val="79768606"/>
      </c:barChart>
      <c:catAx>
        <c:axId val="7157199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900" strike="noStrike" u="none">
                    <a:solidFill>
                      <a:srgbClr val="1a237e"/>
                    </a:solidFill>
                    <a:uFillTx/>
                    <a:latin typeface="Arial"/>
                  </a:rPr>
                  <a:t>Date (YYYY-MM-DD)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79768606"/>
        <c:crosses val="autoZero"/>
        <c:auto val="1"/>
        <c:lblAlgn val="ctr"/>
        <c:lblOffset val="100"/>
        <c:noMultiLvlLbl val="0"/>
      </c:catAx>
      <c:valAx>
        <c:axId val="7976860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100" strike="noStrike" u="none">
                    <a:solidFill>
                      <a:srgbClr val="1a237e"/>
                    </a:solidFill>
                    <a:uFillTx/>
                    <a:latin typeface="Arial"/>
                  </a:rPr>
                  <a:t>Total Count (#)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71571990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gradFill>
          <a:gsLst>
            <a:gs pos="0">
              <a:srgbClr val="b4c7dc"/>
            </a:gs>
            <a:gs pos="50000">
              <a:srgbClr val="ffd7d7"/>
            </a:gs>
            <a:gs pos="100000">
              <a:srgbClr val="b4c7dc"/>
            </a:gs>
          </a:gsLst>
          <a:lin ang="2700000"/>
        </a:gradFill>
        <a:ln w="0">
          <a:noFill/>
        </a:ln>
      </c:spPr>
      <c:txPr>
        <a:bodyPr/>
        <a:lstStyle/>
        <a:p>
          <a:pPr>
            <a:defRPr b="1" sz="1000" strike="noStrike" u="none">
              <a:solidFill>
                <a:srgbClr val="1a237e"/>
              </a:solidFill>
              <a:uFillTx/>
              <a:latin typeface="Arial"/>
            </a:defRPr>
          </a:pPr>
        </a:p>
      </c:txPr>
    </c:legend>
    <c:plotVisOnly val="1"/>
    <c:dispBlanksAs val="gap"/>
  </c:chart>
  <c:spPr>
    <a:gradFill>
      <a:gsLst>
        <a:gs pos="0">
          <a:srgbClr val="b4c7dc"/>
        </a:gs>
        <a:gs pos="100000">
          <a:srgbClr val="ffd7d7"/>
        </a:gs>
      </a:gsLst>
      <a:path path="rect">
        <a:fillToRect l="50000" t="50000" r="50000" b="50000"/>
      </a:path>
    </a:gradFill>
    <a:ln w="18360">
      <a:solidFill>
        <a:srgbClr val="000000"/>
      </a:solidFill>
      <a:prstDash val="sysDashDotDot"/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300" strike="noStrike" u="none">
                <a:solidFill>
                  <a:srgbClr val="b71c1c"/>
                </a:solidFill>
                <a:uFillTx/>
                <a:latin typeface="Arial"/>
              </a:rPr>
              <a:t>Distribution of OS System Vulnerabilities</a:t>
            </a:r>
          </a:p>
          <a:p>
            <a:pPr>
              <a:defRPr b="0" sz="1300" strike="noStrike" u="none">
                <a:uFillTx/>
                <a:latin typeface="Arial"/>
              </a:defRPr>
            </a:pPr>
            <a:r>
              <a:rPr b="1" sz="1100" strike="noStrike" u="none">
                <a:solidFill>
                  <a:srgbClr val="e53935"/>
                </a:solidFill>
                <a:uFillTx/>
                <a:latin typeface="Arial"/>
              </a:rPr>
              <a:t>Critical Patches per Operating System</a:t>
            </a:r>
          </a:p>
        </c:rich>
      </c:tx>
      <c:overlay val="0"/>
      <c:spPr>
        <a:noFill/>
        <a:ln w="0">
          <a:noFill/>
        </a:ln>
      </c:spPr>
    </c:title>
    <c:autoTitleDeleted val="0"/>
    <c:view3D>
      <c:rotX val="300"/>
      <c:rotY val="0"/>
      <c:rAngAx val="1"/>
      <c:perspective val="10"/>
    </c:view3D>
    <c:floor>
      <c:spPr>
        <a:solidFill>
          <a:srgbClr val="cccccc"/>
        </a:solidFill>
        <a:ln w="0">
          <a:noFill/>
        </a:ln>
      </c:spPr>
    </c:floor>
    <c:sideWall>
      <c:spPr>
        <a:noFill/>
        <a:ln w="0">
          <a:solidFill>
            <a:srgbClr val="b3b3b3"/>
          </a:solidFill>
        </a:ln>
      </c:spPr>
    </c:sideWall>
    <c:backWall>
      <c:spPr>
        <a:noFill/>
        <a:ln w="0">
          <a:solidFill>
            <a:srgbClr val="b3b3b3"/>
          </a:solidFill>
        </a:ln>
      </c:spPr>
    </c:backWall>
    <c:plotArea>
      <c:doughnutChart>
        <c:varyColors val="1"/>
        <c:ser>
          <c:idx val="0"/>
          <c:order val="0"/>
          <c:tx>
            <c:strRef>
              <c:f>Cybersecurity_Dashboard!$L$30</c:f>
              <c:strCache>
                <c:ptCount val="1"/>
                <c:pt idx="0">
                  <c:v># of SEVERE Vulnerabilities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explosion val="50"/>
          <c:dPt>
            <c:idx val="0"/>
            <c:explosion val="5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explosion val="50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explosion val="50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3"/>
            <c:explosion val="50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4"/>
            <c:explosion val="50"/>
            <c:spPr>
              <a:solidFill>
                <a:srgbClr val="7e0021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Cybersecurity_Dashboard!$K$31:$K$35</c:f>
              <c:strCache>
                <c:ptCount val="5"/>
                <c:pt idx="0">
                  <c:v>Linux</c:v>
                </c:pt>
                <c:pt idx="1">
                  <c:v>Windows 10</c:v>
                </c:pt>
                <c:pt idx="2">
                  <c:v>Windows 11</c:v>
                </c:pt>
                <c:pt idx="3">
                  <c:v>Windows Server 2019</c:v>
                </c:pt>
                <c:pt idx="4">
                  <c:v>Windows Server 2022</c:v>
                </c:pt>
              </c:strCache>
            </c:strRef>
          </c:cat>
          <c:val>
            <c:numRef>
              <c:f>Cybersecurity_Dashboard!$L$31:$L$35</c:f>
              <c:numCache>
                <c:formatCode>General</c:formatCode>
                <c:ptCount val="5"/>
                <c:pt idx="0">
                  <c:v>16</c:v>
                </c:pt>
                <c:pt idx="1">
                  <c:v>15</c:v>
                </c:pt>
                <c:pt idx="2">
                  <c:v>15</c:v>
                </c:pt>
                <c:pt idx="3">
                  <c:v>13</c:v>
                </c:pt>
                <c:pt idx="4">
                  <c:v>16</c:v>
                </c:pt>
              </c:numCache>
            </c:numRef>
          </c:val>
        </c:ser>
        <c:ser>
          <c:idx val="1"/>
          <c:order val="1"/>
          <c:tx>
            <c:strRef>
              <c:f>Cybersecurity_Dashboard!$M$30</c:f>
              <c:strCache>
                <c:ptCount val="1"/>
                <c:pt idx="0">
                  <c:v># of Hosts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3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4"/>
            <c:spPr>
              <a:solidFill>
                <a:srgbClr val="7e0021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Cybersecurity_Dashboard!$K$31:$K$35</c:f>
              <c:strCache>
                <c:ptCount val="5"/>
                <c:pt idx="0">
                  <c:v>Linux</c:v>
                </c:pt>
                <c:pt idx="1">
                  <c:v>Windows 10</c:v>
                </c:pt>
                <c:pt idx="2">
                  <c:v>Windows 11</c:v>
                </c:pt>
                <c:pt idx="3">
                  <c:v>Windows Server 2019</c:v>
                </c:pt>
                <c:pt idx="4">
                  <c:v>Windows Server 2022</c:v>
                </c:pt>
              </c:strCache>
            </c:strRef>
          </c:cat>
          <c:val>
            <c:numRef>
              <c:f>Cybersecurity_Dashboard!$M$31:$M$35</c:f>
              <c:numCache>
                <c:formatCode>General</c:formatCode>
                <c:ptCount val="5"/>
                <c:pt idx="0">
                  <c:v>56</c:v>
                </c:pt>
                <c:pt idx="1">
                  <c:v>55</c:v>
                </c:pt>
                <c:pt idx="2">
                  <c:v>65</c:v>
                </c:pt>
                <c:pt idx="3">
                  <c:v>58</c:v>
                </c:pt>
                <c:pt idx="4">
                  <c:v>66</c:v>
                </c:pt>
              </c:numCache>
            </c:numRef>
          </c:val>
        </c:ser>
        <c:ser>
          <c:idx val="2"/>
          <c:order val="2"/>
          <c:tx>
            <c:strRef>
              <c:f>Cybersecurity_Dashboard!$N$30</c:f>
              <c:strCache>
                <c:ptCount val="1"/>
                <c:pt idx="0">
                  <c:v>Percentage</c:v>
                </c:pt>
              </c:strCache>
            </c:strRef>
          </c:tx>
          <c:spPr>
            <a:solidFill>
              <a:srgbClr val="ffd320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3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4"/>
            <c:spPr>
              <a:solidFill>
                <a:srgbClr val="7e0021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Cybersecurity_Dashboard!$K$31:$K$35</c:f>
              <c:strCache>
                <c:ptCount val="5"/>
                <c:pt idx="0">
                  <c:v>Linux</c:v>
                </c:pt>
                <c:pt idx="1">
                  <c:v>Windows 10</c:v>
                </c:pt>
                <c:pt idx="2">
                  <c:v>Windows 11</c:v>
                </c:pt>
                <c:pt idx="3">
                  <c:v>Windows Server 2019</c:v>
                </c:pt>
                <c:pt idx="4">
                  <c:v>Windows Server 2022</c:v>
                </c:pt>
              </c:strCache>
            </c:strRef>
          </c:cat>
          <c:val>
            <c:numRef>
              <c:f>Cybersecurity_Dashboard!$N$31:$N$35</c:f>
              <c:numCache>
                <c:formatCode>0.00%</c:formatCode>
                <c:ptCount val="5"/>
                <c:pt idx="0">
                  <c:v>0.285714285714286</c:v>
                </c:pt>
                <c:pt idx="1">
                  <c:v>0.272727272727273</c:v>
                </c:pt>
                <c:pt idx="2">
                  <c:v>0.230769230769231</c:v>
                </c:pt>
                <c:pt idx="3">
                  <c:v>0.224137931034483</c:v>
                </c:pt>
                <c:pt idx="4">
                  <c:v>0.242424242424242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</c:chart>
  <c:spPr>
    <a:gradFill>
      <a:gsLst>
        <a:gs pos="0">
          <a:srgbClr val="b4c7dc"/>
        </a:gs>
        <a:gs pos="100000">
          <a:srgbClr val="ffd7d7"/>
        </a:gs>
      </a:gsLst>
      <a:path path="rect">
        <a:fillToRect l="50000" t="50000" r="50000" b="50000"/>
      </a:path>
    </a:gradFill>
    <a:ln cap="rnd" w="18360">
      <a:solidFill>
        <a:srgbClr val="000000"/>
      </a:solidFill>
      <a:prstDash val="sysDashDotDot"/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300" strike="noStrike" u="none">
                <a:solidFill>
                  <a:srgbClr val="1a237e"/>
                </a:solidFill>
                <a:uFillTx/>
                <a:latin typeface="Arial"/>
                <a:ea typeface="DejaVu Sans"/>
              </a:rPr>
              <a:t>Firewall Logs - Trends over Time </a:t>
            </a:r>
          </a:p>
          <a:p>
            <a:pPr>
              <a:defRPr b="0" sz="1300" strike="noStrike" u="none">
                <a:uFillTx/>
                <a:latin typeface="Arial"/>
              </a:defRPr>
            </a:pPr>
            <a:r>
              <a:rPr b="1" sz="1100" strike="noStrike" u="none">
                <a:solidFill>
                  <a:srgbClr val="1a237e"/>
                </a:solidFill>
                <a:uFillTx/>
                <a:latin typeface="Arial"/>
                <a:ea typeface="DejaVu Sans"/>
              </a:rPr>
              <a:t># of Allowed &amp; Blocked IPs</a:t>
            </a:r>
          </a:p>
        </c:rich>
      </c:tx>
      <c:overlay val="0"/>
      <c:spPr>
        <a:noFill/>
        <a:ln w="0">
          <a:noFill/>
        </a:ln>
      </c:spPr>
    </c:title>
    <c:autoTitleDeleted val="0"/>
    <c:view3D>
      <c:rotX val="11"/>
      <c:rotY val="25"/>
      <c:rAngAx val="1"/>
      <c:perspective val="40"/>
    </c:view3D>
    <c:floor>
      <c:spPr>
        <a:solidFill>
          <a:srgbClr val="cccccc"/>
        </a:solidFill>
        <a:ln w="0">
          <a:noFill/>
        </a:ln>
      </c:spPr>
    </c:floor>
    <c:sideWall>
      <c:spPr>
        <a:noFill/>
        <a:ln w="0">
          <a:solidFill>
            <a:srgbClr val="b3b3b3"/>
          </a:solidFill>
        </a:ln>
      </c:spPr>
    </c:sideWall>
    <c:backWall>
      <c:spPr>
        <a:noFill/>
        <a:ln w="0">
          <a:solidFill>
            <a:srgbClr val="b3b3b3"/>
          </a:solidFill>
        </a:ln>
      </c:spPr>
    </c:backWall>
    <c:plotArea>
      <c:bar3DChart>
        <c:barDir val="col"/>
        <c:grouping val="clustered"/>
        <c:varyColors val="0"/>
        <c:ser>
          <c:idx val="0"/>
          <c:order val="0"/>
          <c:tx>
            <c:strRef>
              <c:f>label 0</c:f>
              <c:strCache>
                <c:ptCount val="1"/>
                <c:pt idx="0">
                  <c:v>Allowed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categories</c:f>
              <c:multiLvlStrCache>
                <c:ptCount val="290"/>
                <c:lvl>
                  <c:pt idx="0">
                    <c:v>08:00</c:v>
                  </c:pt>
                  <c:pt idx="1">
                    <c:v>08:03</c:v>
                  </c:pt>
                  <c:pt idx="2">
                    <c:v>08:07</c:v>
                  </c:pt>
                  <c:pt idx="3">
                    <c:v>08:10</c:v>
                  </c:pt>
                  <c:pt idx="4">
                    <c:v>08:16</c:v>
                  </c:pt>
                  <c:pt idx="5">
                    <c:v>08:22</c:v>
                  </c:pt>
                  <c:pt idx="6">
                    <c:v>08:35</c:v>
                  </c:pt>
                  <c:pt idx="7">
                    <c:v>08:43</c:v>
                  </c:pt>
                  <c:pt idx="8">
                    <c:v>08:54</c:v>
                  </c:pt>
                  <c:pt idx="9">
                    <c:v>08:55</c:v>
                  </c:pt>
                  <c:pt idx="10">
                    <c:v>08:57</c:v>
                  </c:pt>
                  <c:pt idx="11">
                    <c:v>08:58</c:v>
                  </c:pt>
                  <c:pt idx="12">
                    <c:v>09:04</c:v>
                  </c:pt>
                  <c:pt idx="13">
                    <c:v>09:06</c:v>
                  </c:pt>
                  <c:pt idx="14">
                    <c:v>09:16</c:v>
                  </c:pt>
                  <c:pt idx="15">
                    <c:v>09:22</c:v>
                  </c:pt>
                  <c:pt idx="16">
                    <c:v>09:24</c:v>
                  </c:pt>
                  <c:pt idx="17">
                    <c:v>09:28</c:v>
                  </c:pt>
                  <c:pt idx="18">
                    <c:v>09:31</c:v>
                  </c:pt>
                  <c:pt idx="19">
                    <c:v>09:35</c:v>
                  </c:pt>
                  <c:pt idx="20">
                    <c:v>09:41</c:v>
                  </c:pt>
                  <c:pt idx="21">
                    <c:v>09:56</c:v>
                  </c:pt>
                  <c:pt idx="22">
                    <c:v>10:01</c:v>
                  </c:pt>
                  <c:pt idx="23">
                    <c:v>10:06</c:v>
                  </c:pt>
                  <c:pt idx="24">
                    <c:v>10:19</c:v>
                  </c:pt>
                  <c:pt idx="25">
                    <c:v>10:22</c:v>
                  </c:pt>
                  <c:pt idx="26">
                    <c:v>10:24</c:v>
                  </c:pt>
                  <c:pt idx="27">
                    <c:v>10:25</c:v>
                  </c:pt>
                  <c:pt idx="28">
                    <c:v>10:26</c:v>
                  </c:pt>
                  <c:pt idx="29">
                    <c:v>10:38</c:v>
                  </c:pt>
                  <c:pt idx="30">
                    <c:v>10:39</c:v>
                  </c:pt>
                  <c:pt idx="31">
                    <c:v>10:40</c:v>
                  </c:pt>
                  <c:pt idx="32">
                    <c:v>10:43</c:v>
                  </c:pt>
                  <c:pt idx="33">
                    <c:v>10:45</c:v>
                  </c:pt>
                  <c:pt idx="34">
                    <c:v>10:47</c:v>
                  </c:pt>
                  <c:pt idx="35">
                    <c:v>10:54</c:v>
                  </c:pt>
                  <c:pt idx="36">
                    <c:v>10:57</c:v>
                  </c:pt>
                  <c:pt idx="37">
                    <c:v>11:00</c:v>
                  </c:pt>
                  <c:pt idx="38">
                    <c:v>11:05</c:v>
                  </c:pt>
                  <c:pt idx="39">
                    <c:v>11:16</c:v>
                  </c:pt>
                  <c:pt idx="40">
                    <c:v>11:23</c:v>
                  </c:pt>
                  <c:pt idx="41">
                    <c:v>11:25</c:v>
                  </c:pt>
                  <c:pt idx="42">
                    <c:v>11:26</c:v>
                  </c:pt>
                  <c:pt idx="43">
                    <c:v>11:30</c:v>
                  </c:pt>
                  <c:pt idx="44">
                    <c:v>11:33</c:v>
                  </c:pt>
                  <c:pt idx="45">
                    <c:v>11:34</c:v>
                  </c:pt>
                  <c:pt idx="46">
                    <c:v>11:37</c:v>
                  </c:pt>
                  <c:pt idx="47">
                    <c:v>11:46</c:v>
                  </c:pt>
                  <c:pt idx="48">
                    <c:v>11:53</c:v>
                  </c:pt>
                  <c:pt idx="49">
                    <c:v>11:55</c:v>
                  </c:pt>
                  <c:pt idx="50">
                    <c:v>11:58</c:v>
                  </c:pt>
                  <c:pt idx="51">
                    <c:v>12:00</c:v>
                  </c:pt>
                  <c:pt idx="52">
                    <c:v>12:03</c:v>
                  </c:pt>
                  <c:pt idx="53">
                    <c:v>12:05</c:v>
                  </c:pt>
                  <c:pt idx="54">
                    <c:v>12:07</c:v>
                  </c:pt>
                  <c:pt idx="55">
                    <c:v>12:08</c:v>
                  </c:pt>
                  <c:pt idx="56">
                    <c:v>12:10</c:v>
                  </c:pt>
                  <c:pt idx="57">
                    <c:v>12:12</c:v>
                  </c:pt>
                  <c:pt idx="58">
                    <c:v>12:14</c:v>
                  </c:pt>
                  <c:pt idx="59">
                    <c:v>12:25</c:v>
                  </c:pt>
                  <c:pt idx="60">
                    <c:v>12:28</c:v>
                  </c:pt>
                  <c:pt idx="61">
                    <c:v>12:32</c:v>
                  </c:pt>
                  <c:pt idx="62">
                    <c:v>12:33</c:v>
                  </c:pt>
                  <c:pt idx="63">
                    <c:v>12:42</c:v>
                  </c:pt>
                  <c:pt idx="64">
                    <c:v>12:48</c:v>
                  </c:pt>
                  <c:pt idx="65">
                    <c:v>12:54</c:v>
                  </c:pt>
                  <c:pt idx="66">
                    <c:v>13:05</c:v>
                  </c:pt>
                  <c:pt idx="67">
                    <c:v>13:17</c:v>
                  </c:pt>
                  <c:pt idx="68">
                    <c:v>13:18</c:v>
                  </c:pt>
                  <c:pt idx="69">
                    <c:v>13:22</c:v>
                  </c:pt>
                  <c:pt idx="70">
                    <c:v>13:25</c:v>
                  </c:pt>
                  <c:pt idx="71">
                    <c:v>13:28</c:v>
                  </c:pt>
                  <c:pt idx="72">
                    <c:v>13:29</c:v>
                  </c:pt>
                  <c:pt idx="73">
                    <c:v>13:33</c:v>
                  </c:pt>
                  <c:pt idx="74">
                    <c:v>13:38</c:v>
                  </c:pt>
                  <c:pt idx="75">
                    <c:v>13:41</c:v>
                  </c:pt>
                  <c:pt idx="76">
                    <c:v>13:43</c:v>
                  </c:pt>
                  <c:pt idx="77">
                    <c:v>13:51</c:v>
                  </c:pt>
                  <c:pt idx="78">
                    <c:v>13:57</c:v>
                  </c:pt>
                  <c:pt idx="79">
                    <c:v>14:00</c:v>
                  </c:pt>
                  <c:pt idx="80">
                    <c:v>14:04</c:v>
                  </c:pt>
                  <c:pt idx="81">
                    <c:v>14:11</c:v>
                  </c:pt>
                  <c:pt idx="82">
                    <c:v>14:15</c:v>
                  </c:pt>
                  <c:pt idx="83">
                    <c:v>14:20</c:v>
                  </c:pt>
                  <c:pt idx="84">
                    <c:v>14:30</c:v>
                  </c:pt>
                  <c:pt idx="85">
                    <c:v>14:34</c:v>
                  </c:pt>
                  <c:pt idx="86">
                    <c:v>14:36</c:v>
                  </c:pt>
                  <c:pt idx="87">
                    <c:v>14:39</c:v>
                  </c:pt>
                  <c:pt idx="88">
                    <c:v>14:49</c:v>
                  </c:pt>
                  <c:pt idx="89">
                    <c:v>14:50</c:v>
                  </c:pt>
                  <c:pt idx="90">
                    <c:v>14:57</c:v>
                  </c:pt>
                  <c:pt idx="91">
                    <c:v>14:58</c:v>
                  </c:pt>
                  <c:pt idx="92">
                    <c:v>15:00</c:v>
                  </c:pt>
                  <c:pt idx="93">
                    <c:v>15:01</c:v>
                  </c:pt>
                  <c:pt idx="94">
                    <c:v>15:03</c:v>
                  </c:pt>
                  <c:pt idx="95">
                    <c:v>15:04</c:v>
                  </c:pt>
                  <c:pt idx="96">
                    <c:v>15:08</c:v>
                  </c:pt>
                  <c:pt idx="97">
                    <c:v>15:10</c:v>
                  </c:pt>
                  <c:pt idx="98">
                    <c:v>15:12</c:v>
                  </c:pt>
                  <c:pt idx="99">
                    <c:v>15:17</c:v>
                  </c:pt>
                  <c:pt idx="100">
                    <c:v>15:20</c:v>
                  </c:pt>
                  <c:pt idx="101">
                    <c:v>15:21</c:v>
                  </c:pt>
                  <c:pt idx="102">
                    <c:v>15:26</c:v>
                  </c:pt>
                  <c:pt idx="103">
                    <c:v>15:33</c:v>
                  </c:pt>
                  <c:pt idx="104">
                    <c:v>15:38</c:v>
                  </c:pt>
                  <c:pt idx="105">
                    <c:v>15:43</c:v>
                  </c:pt>
                  <c:pt idx="106">
                    <c:v>15:46</c:v>
                  </c:pt>
                  <c:pt idx="107">
                    <c:v>15:47</c:v>
                  </c:pt>
                  <c:pt idx="108">
                    <c:v>15:55</c:v>
                  </c:pt>
                  <c:pt idx="109">
                    <c:v>15:57</c:v>
                  </c:pt>
                  <c:pt idx="110">
                    <c:v>16:03</c:v>
                  </c:pt>
                  <c:pt idx="111">
                    <c:v>16:04</c:v>
                  </c:pt>
                  <c:pt idx="112">
                    <c:v>16:07</c:v>
                  </c:pt>
                  <c:pt idx="113">
                    <c:v>16:12</c:v>
                  </c:pt>
                  <c:pt idx="114">
                    <c:v>16:13</c:v>
                  </c:pt>
                  <c:pt idx="115">
                    <c:v>16:20</c:v>
                  </c:pt>
                  <c:pt idx="116">
                    <c:v>16:24</c:v>
                  </c:pt>
                  <c:pt idx="117">
                    <c:v>16:28</c:v>
                  </c:pt>
                  <c:pt idx="118">
                    <c:v>16:30</c:v>
                  </c:pt>
                  <c:pt idx="119">
                    <c:v>16:31</c:v>
                  </c:pt>
                  <c:pt idx="120">
                    <c:v>16:36</c:v>
                  </c:pt>
                  <c:pt idx="121">
                    <c:v>16:46</c:v>
                  </c:pt>
                  <c:pt idx="122">
                    <c:v>16:54</c:v>
                  </c:pt>
                  <c:pt idx="123">
                    <c:v>16:59</c:v>
                  </c:pt>
                  <c:pt idx="124">
                    <c:v>17:01</c:v>
                  </c:pt>
                  <c:pt idx="125">
                    <c:v>17:03</c:v>
                  </c:pt>
                  <c:pt idx="126">
                    <c:v>17:12</c:v>
                  </c:pt>
                  <c:pt idx="127">
                    <c:v>17:13</c:v>
                  </c:pt>
                  <c:pt idx="128">
                    <c:v>17:17</c:v>
                  </c:pt>
                  <c:pt idx="129">
                    <c:v>17:47</c:v>
                  </c:pt>
                  <c:pt idx="130">
                    <c:v>17:48</c:v>
                  </c:pt>
                  <c:pt idx="131">
                    <c:v>17:50</c:v>
                  </c:pt>
                  <c:pt idx="132">
                    <c:v>17:55</c:v>
                  </c:pt>
                  <c:pt idx="133">
                    <c:v>18:04</c:v>
                  </c:pt>
                  <c:pt idx="134">
                    <c:v>18:12</c:v>
                  </c:pt>
                  <c:pt idx="135">
                    <c:v>18:14</c:v>
                  </c:pt>
                  <c:pt idx="136">
                    <c:v>18:16</c:v>
                  </c:pt>
                  <c:pt idx="137">
                    <c:v>18:17</c:v>
                  </c:pt>
                  <c:pt idx="138">
                    <c:v>18:33</c:v>
                  </c:pt>
                  <c:pt idx="139">
                    <c:v>18:41</c:v>
                  </c:pt>
                  <c:pt idx="140">
                    <c:v>18:45</c:v>
                  </c:pt>
                  <c:pt idx="141">
                    <c:v>18:51</c:v>
                  </c:pt>
                  <c:pt idx="142">
                    <c:v>18:52</c:v>
                  </c:pt>
                  <c:pt idx="143">
                    <c:v>18:54</c:v>
                  </c:pt>
                  <c:pt idx="144">
                    <c:v>18:56</c:v>
                  </c:pt>
                  <c:pt idx="145">
                    <c:v>18:58</c:v>
                  </c:pt>
                  <c:pt idx="146">
                    <c:v>19:04</c:v>
                  </c:pt>
                  <c:pt idx="147">
                    <c:v>19:07</c:v>
                  </c:pt>
                  <c:pt idx="148">
                    <c:v>19:13</c:v>
                  </c:pt>
                  <c:pt idx="149">
                    <c:v>19:14</c:v>
                  </c:pt>
                  <c:pt idx="150">
                    <c:v>19:22</c:v>
                  </c:pt>
                  <c:pt idx="151">
                    <c:v>19:23</c:v>
                  </c:pt>
                  <c:pt idx="152">
                    <c:v>19:24</c:v>
                  </c:pt>
                  <c:pt idx="153">
                    <c:v>19:29</c:v>
                  </c:pt>
                  <c:pt idx="154">
                    <c:v>19:31</c:v>
                  </c:pt>
                  <c:pt idx="155">
                    <c:v>19:33</c:v>
                  </c:pt>
                  <c:pt idx="156">
                    <c:v>19:36</c:v>
                  </c:pt>
                  <c:pt idx="157">
                    <c:v>19:40</c:v>
                  </c:pt>
                  <c:pt idx="158">
                    <c:v>19:42</c:v>
                  </c:pt>
                  <c:pt idx="159">
                    <c:v>19:55</c:v>
                  </c:pt>
                  <c:pt idx="160">
                    <c:v>19:57</c:v>
                  </c:pt>
                  <c:pt idx="161">
                    <c:v>19:59</c:v>
                  </c:pt>
                  <c:pt idx="162">
                    <c:v>20:00</c:v>
                  </c:pt>
                  <c:pt idx="163">
                    <c:v>20:05</c:v>
                  </c:pt>
                  <c:pt idx="164">
                    <c:v>20:08</c:v>
                  </c:pt>
                  <c:pt idx="165">
                    <c:v>20:09</c:v>
                  </c:pt>
                  <c:pt idx="166">
                    <c:v>20:11</c:v>
                  </c:pt>
                  <c:pt idx="167">
                    <c:v>20:12</c:v>
                  </c:pt>
                  <c:pt idx="168">
                    <c:v>20:20</c:v>
                  </c:pt>
                  <c:pt idx="169">
                    <c:v>20:22</c:v>
                  </c:pt>
                  <c:pt idx="170">
                    <c:v>20:25</c:v>
                  </c:pt>
                  <c:pt idx="171">
                    <c:v>20:30</c:v>
                  </c:pt>
                  <c:pt idx="172">
                    <c:v>20:36</c:v>
                  </c:pt>
                  <c:pt idx="173">
                    <c:v>20:40</c:v>
                  </c:pt>
                  <c:pt idx="174">
                    <c:v>20:41</c:v>
                  </c:pt>
                  <c:pt idx="175">
                    <c:v>20:50</c:v>
                  </c:pt>
                  <c:pt idx="176">
                    <c:v>20:53</c:v>
                  </c:pt>
                  <c:pt idx="177">
                    <c:v>21:06</c:v>
                  </c:pt>
                  <c:pt idx="178">
                    <c:v>21:17</c:v>
                  </c:pt>
                  <c:pt idx="179">
                    <c:v>21:23</c:v>
                  </c:pt>
                  <c:pt idx="180">
                    <c:v>21:26</c:v>
                  </c:pt>
                  <c:pt idx="181">
                    <c:v>21:38</c:v>
                  </c:pt>
                  <c:pt idx="182">
                    <c:v>21:40</c:v>
                  </c:pt>
                  <c:pt idx="183">
                    <c:v>21:49</c:v>
                  </c:pt>
                  <c:pt idx="184">
                    <c:v>21:53</c:v>
                  </c:pt>
                  <c:pt idx="185">
                    <c:v>21:56</c:v>
                  </c:pt>
                  <c:pt idx="186">
                    <c:v>21:58</c:v>
                  </c:pt>
                  <c:pt idx="187">
                    <c:v>22:04</c:v>
                  </c:pt>
                  <c:pt idx="188">
                    <c:v>22:08</c:v>
                  </c:pt>
                  <c:pt idx="189">
                    <c:v>22:24</c:v>
                  </c:pt>
                  <c:pt idx="190">
                    <c:v>22:39</c:v>
                  </c:pt>
                  <c:pt idx="191">
                    <c:v>22:53</c:v>
                  </c:pt>
                  <c:pt idx="192">
                    <c:v>22:55</c:v>
                  </c:pt>
                  <c:pt idx="193">
                    <c:v>22:56</c:v>
                  </c:pt>
                  <c:pt idx="194">
                    <c:v>23:19</c:v>
                  </c:pt>
                  <c:pt idx="195">
                    <c:v>23:20</c:v>
                  </c:pt>
                  <c:pt idx="196">
                    <c:v>23:33</c:v>
                  </c:pt>
                  <c:pt idx="197">
                    <c:v>23:34</c:v>
                  </c:pt>
                  <c:pt idx="198">
                    <c:v>23:43</c:v>
                  </c:pt>
                  <c:pt idx="199">
                    <c:v>23:45</c:v>
                  </c:pt>
                  <c:pt idx="200">
                    <c:v>23:49</c:v>
                  </c:pt>
                  <c:pt idx="201">
                    <c:v>23:51</c:v>
                  </c:pt>
                  <c:pt idx="202">
                    <c:v>23:52</c:v>
                  </c:pt>
                  <c:pt idx="203">
                    <c:v>23:55</c:v>
                  </c:pt>
                  <c:pt idx="204">
                    <c:v>00:06</c:v>
                  </c:pt>
                  <c:pt idx="205">
                    <c:v>00:10</c:v>
                  </c:pt>
                  <c:pt idx="206">
                    <c:v>00:15</c:v>
                  </c:pt>
                  <c:pt idx="207">
                    <c:v>00:16</c:v>
                  </c:pt>
                  <c:pt idx="208">
                    <c:v>00:19</c:v>
                  </c:pt>
                  <c:pt idx="209">
                    <c:v>00:26</c:v>
                  </c:pt>
                  <c:pt idx="210">
                    <c:v>00:30</c:v>
                  </c:pt>
                  <c:pt idx="211">
                    <c:v>00:31</c:v>
                  </c:pt>
                  <c:pt idx="212">
                    <c:v>00:36</c:v>
                  </c:pt>
                  <c:pt idx="213">
                    <c:v>00:37</c:v>
                  </c:pt>
                  <c:pt idx="214">
                    <c:v>00:47</c:v>
                  </c:pt>
                  <c:pt idx="215">
                    <c:v>01:02</c:v>
                  </c:pt>
                  <c:pt idx="216">
                    <c:v>01:05</c:v>
                  </c:pt>
                  <c:pt idx="217">
                    <c:v>01:15</c:v>
                  </c:pt>
                  <c:pt idx="218">
                    <c:v>01:16</c:v>
                  </c:pt>
                  <c:pt idx="219">
                    <c:v>01:18</c:v>
                  </c:pt>
                  <c:pt idx="220">
                    <c:v>01:26</c:v>
                  </c:pt>
                  <c:pt idx="221">
                    <c:v>01:42</c:v>
                  </c:pt>
                  <c:pt idx="222">
                    <c:v>01:48</c:v>
                  </c:pt>
                  <c:pt idx="223">
                    <c:v>01:49</c:v>
                  </c:pt>
                  <c:pt idx="224">
                    <c:v>01:56</c:v>
                  </c:pt>
                  <c:pt idx="225">
                    <c:v>02:00</c:v>
                  </c:pt>
                  <c:pt idx="226">
                    <c:v>02:04</c:v>
                  </c:pt>
                  <c:pt idx="227">
                    <c:v>02:06</c:v>
                  </c:pt>
                  <c:pt idx="228">
                    <c:v>02:08</c:v>
                  </c:pt>
                  <c:pt idx="229">
                    <c:v>02:17</c:v>
                  </c:pt>
                  <c:pt idx="230">
                    <c:v>02:33</c:v>
                  </c:pt>
                  <c:pt idx="231">
                    <c:v>02:37</c:v>
                  </c:pt>
                  <c:pt idx="232">
                    <c:v>02:43</c:v>
                  </c:pt>
                  <c:pt idx="233">
                    <c:v>02:52</c:v>
                  </c:pt>
                  <c:pt idx="234">
                    <c:v>02:55</c:v>
                  </c:pt>
                  <c:pt idx="235">
                    <c:v>03:16</c:v>
                  </c:pt>
                  <c:pt idx="236">
                    <c:v>03:18</c:v>
                  </c:pt>
                  <c:pt idx="237">
                    <c:v>03:22</c:v>
                  </c:pt>
                  <c:pt idx="238">
                    <c:v>03:32</c:v>
                  </c:pt>
                  <c:pt idx="239">
                    <c:v>03:33</c:v>
                  </c:pt>
                  <c:pt idx="240">
                    <c:v>03:44</c:v>
                  </c:pt>
                  <c:pt idx="241">
                    <c:v>03:53</c:v>
                  </c:pt>
                  <c:pt idx="242">
                    <c:v>03:56</c:v>
                  </c:pt>
                  <c:pt idx="243">
                    <c:v>03:57</c:v>
                  </c:pt>
                  <c:pt idx="244">
                    <c:v>04:02</c:v>
                  </c:pt>
                  <c:pt idx="245">
                    <c:v>04:05</c:v>
                  </c:pt>
                  <c:pt idx="246">
                    <c:v>04:11</c:v>
                  </c:pt>
                  <c:pt idx="247">
                    <c:v>04:20</c:v>
                  </c:pt>
                  <c:pt idx="248">
                    <c:v>04:22</c:v>
                  </c:pt>
                  <c:pt idx="249">
                    <c:v>04:26</c:v>
                  </c:pt>
                  <c:pt idx="250">
                    <c:v>04:27</c:v>
                  </c:pt>
                  <c:pt idx="251">
                    <c:v>04:30</c:v>
                  </c:pt>
                  <c:pt idx="252">
                    <c:v>04:37</c:v>
                  </c:pt>
                  <c:pt idx="253">
                    <c:v>04:47</c:v>
                  </c:pt>
                  <c:pt idx="254">
                    <c:v>04:52</c:v>
                  </c:pt>
                  <c:pt idx="255">
                    <c:v>05:00</c:v>
                  </c:pt>
                  <c:pt idx="256">
                    <c:v>05:01</c:v>
                  </c:pt>
                  <c:pt idx="257">
                    <c:v>05:02</c:v>
                  </c:pt>
                  <c:pt idx="258">
                    <c:v>05:08</c:v>
                  </c:pt>
                  <c:pt idx="259">
                    <c:v>05:14</c:v>
                  </c:pt>
                  <c:pt idx="260">
                    <c:v>05:22</c:v>
                  </c:pt>
                  <c:pt idx="261">
                    <c:v>05:24</c:v>
                  </c:pt>
                  <c:pt idx="262">
                    <c:v>05:39</c:v>
                  </c:pt>
                  <c:pt idx="263">
                    <c:v>05:45</c:v>
                  </c:pt>
                  <c:pt idx="264">
                    <c:v>05:47</c:v>
                  </c:pt>
                  <c:pt idx="265">
                    <c:v>05:55</c:v>
                  </c:pt>
                  <c:pt idx="266">
                    <c:v>06:09</c:v>
                  </c:pt>
                  <c:pt idx="267">
                    <c:v>06:15</c:v>
                  </c:pt>
                  <c:pt idx="268">
                    <c:v>06:16</c:v>
                  </c:pt>
                  <c:pt idx="269">
                    <c:v>06:21</c:v>
                  </c:pt>
                  <c:pt idx="270">
                    <c:v>06:24</c:v>
                  </c:pt>
                  <c:pt idx="271">
                    <c:v>06:26</c:v>
                  </c:pt>
                  <c:pt idx="272">
                    <c:v>06:27</c:v>
                  </c:pt>
                  <c:pt idx="273">
                    <c:v>06:34</c:v>
                  </c:pt>
                  <c:pt idx="274">
                    <c:v>06:36</c:v>
                  </c:pt>
                  <c:pt idx="275">
                    <c:v>06:37</c:v>
                  </c:pt>
                  <c:pt idx="276">
                    <c:v>06:57</c:v>
                  </c:pt>
                  <c:pt idx="277">
                    <c:v>07:00</c:v>
                  </c:pt>
                  <c:pt idx="278">
                    <c:v>07:06</c:v>
                  </c:pt>
                  <c:pt idx="279">
                    <c:v>07:12</c:v>
                  </c:pt>
                  <c:pt idx="280">
                    <c:v>07:16</c:v>
                  </c:pt>
                  <c:pt idx="281">
                    <c:v>07:17</c:v>
                  </c:pt>
                  <c:pt idx="282">
                    <c:v>07:20</c:v>
                  </c:pt>
                  <c:pt idx="283">
                    <c:v>07:21</c:v>
                  </c:pt>
                  <c:pt idx="284">
                    <c:v>07:29</c:v>
                  </c:pt>
                  <c:pt idx="285">
                    <c:v>07:42</c:v>
                  </c:pt>
                  <c:pt idx="286">
                    <c:v>07:44</c:v>
                  </c:pt>
                  <c:pt idx="287">
                    <c:v>07:52</c:v>
                  </c:pt>
                  <c:pt idx="288">
                    <c:v>07:55</c:v>
                  </c:pt>
                  <c:pt idx="289">
                    <c:v>07:57</c:v>
                  </c:pt>
                </c:lvl>
                <c:lvl>
                  <c:pt idx="0">
                    <c:v>2024-07-26</c:v>
                  </c:pt>
                  <c:pt idx="204">
                    <c:v>2024-07-27</c:v>
                  </c:pt>
                </c:lvl>
              </c:multiLvlStrCache>
            </c:multiLvlStrRef>
          </c:cat>
          <c:val>
            <c:numRef>
              <c:f>0</c:f>
              <c:numCache>
                <c:formatCode>General</c:formatCode>
                <c:ptCount val="290"/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6">
                  <c:v>1</c:v>
                </c:pt>
                <c:pt idx="9">
                  <c:v>1</c:v>
                </c:pt>
                <c:pt idx="12">
                  <c:v>1</c:v>
                </c:pt>
                <c:pt idx="14">
                  <c:v>1</c:v>
                </c:pt>
                <c:pt idx="16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3">
                  <c:v>1</c:v>
                </c:pt>
                <c:pt idx="25">
                  <c:v>1</c:v>
                </c:pt>
                <c:pt idx="27">
                  <c:v>2</c:v>
                </c:pt>
                <c:pt idx="31">
                  <c:v>1</c:v>
                </c:pt>
                <c:pt idx="33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7">
                  <c:v>1</c:v>
                </c:pt>
                <c:pt idx="48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62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70">
                  <c:v>1</c:v>
                </c:pt>
                <c:pt idx="73">
                  <c:v>1</c:v>
                </c:pt>
                <c:pt idx="78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6">
                  <c:v>1</c:v>
                </c:pt>
                <c:pt idx="89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8">
                  <c:v>1</c:v>
                </c:pt>
                <c:pt idx="99">
                  <c:v>1</c:v>
                </c:pt>
                <c:pt idx="102">
                  <c:v>1</c:v>
                </c:pt>
                <c:pt idx="111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7">
                  <c:v>3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2">
                  <c:v>1</c:v>
                </c:pt>
                <c:pt idx="143">
                  <c:v>1</c:v>
                </c:pt>
                <c:pt idx="145">
                  <c:v>1</c:v>
                </c:pt>
                <c:pt idx="147">
                  <c:v>1</c:v>
                </c:pt>
                <c:pt idx="155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9">
                  <c:v>1</c:v>
                </c:pt>
                <c:pt idx="173">
                  <c:v>1</c:v>
                </c:pt>
                <c:pt idx="175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6">
                  <c:v>1</c:v>
                </c:pt>
                <c:pt idx="188">
                  <c:v>1</c:v>
                </c:pt>
                <c:pt idx="189">
                  <c:v>1</c:v>
                </c:pt>
                <c:pt idx="192">
                  <c:v>1</c:v>
                </c:pt>
                <c:pt idx="194">
                  <c:v>1</c:v>
                </c:pt>
                <c:pt idx="196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2">
                  <c:v>1</c:v>
                </c:pt>
                <c:pt idx="214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6">
                  <c:v>1</c:v>
                </c:pt>
                <c:pt idx="229">
                  <c:v>1</c:v>
                </c:pt>
                <c:pt idx="233">
                  <c:v>2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40">
                  <c:v>1</c:v>
                </c:pt>
                <c:pt idx="242">
                  <c:v>1</c:v>
                </c:pt>
                <c:pt idx="245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3">
                  <c:v>2</c:v>
                </c:pt>
                <c:pt idx="260">
                  <c:v>1</c:v>
                </c:pt>
                <c:pt idx="262">
                  <c:v>1</c:v>
                </c:pt>
                <c:pt idx="263">
                  <c:v>2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8">
                  <c:v>1</c:v>
                </c:pt>
                <c:pt idx="269">
                  <c:v>1</c:v>
                </c:pt>
                <c:pt idx="276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3">
                  <c:v>1</c:v>
                </c:pt>
                <c:pt idx="285">
                  <c:v>1</c:v>
                </c:pt>
                <c:pt idx="287">
                  <c:v>1</c:v>
                </c:pt>
                <c:pt idx="289">
                  <c:v>1</c:v>
                </c:pt>
              </c:numCache>
            </c:numRef>
          </c:val>
        </c:ser>
        <c:ser>
          <c:idx val="1"/>
          <c:order val="1"/>
          <c:tx>
            <c:strRef>
              <c:f>label 1</c:f>
              <c:strCache>
                <c:ptCount val="1"/>
                <c:pt idx="0">
                  <c:v>Blocked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categories</c:f>
              <c:multiLvlStrCache>
                <c:ptCount val="290"/>
                <c:lvl>
                  <c:pt idx="0">
                    <c:v>08:00</c:v>
                  </c:pt>
                  <c:pt idx="1">
                    <c:v>08:03</c:v>
                  </c:pt>
                  <c:pt idx="2">
                    <c:v>08:07</c:v>
                  </c:pt>
                  <c:pt idx="3">
                    <c:v>08:10</c:v>
                  </c:pt>
                  <c:pt idx="4">
                    <c:v>08:16</c:v>
                  </c:pt>
                  <c:pt idx="5">
                    <c:v>08:22</c:v>
                  </c:pt>
                  <c:pt idx="6">
                    <c:v>08:35</c:v>
                  </c:pt>
                  <c:pt idx="7">
                    <c:v>08:43</c:v>
                  </c:pt>
                  <c:pt idx="8">
                    <c:v>08:54</c:v>
                  </c:pt>
                  <c:pt idx="9">
                    <c:v>08:55</c:v>
                  </c:pt>
                  <c:pt idx="10">
                    <c:v>08:57</c:v>
                  </c:pt>
                  <c:pt idx="11">
                    <c:v>08:58</c:v>
                  </c:pt>
                  <c:pt idx="12">
                    <c:v>09:04</c:v>
                  </c:pt>
                  <c:pt idx="13">
                    <c:v>09:06</c:v>
                  </c:pt>
                  <c:pt idx="14">
                    <c:v>09:16</c:v>
                  </c:pt>
                  <c:pt idx="15">
                    <c:v>09:22</c:v>
                  </c:pt>
                  <c:pt idx="16">
                    <c:v>09:24</c:v>
                  </c:pt>
                  <c:pt idx="17">
                    <c:v>09:28</c:v>
                  </c:pt>
                  <c:pt idx="18">
                    <c:v>09:31</c:v>
                  </c:pt>
                  <c:pt idx="19">
                    <c:v>09:35</c:v>
                  </c:pt>
                  <c:pt idx="20">
                    <c:v>09:41</c:v>
                  </c:pt>
                  <c:pt idx="21">
                    <c:v>09:56</c:v>
                  </c:pt>
                  <c:pt idx="22">
                    <c:v>10:01</c:v>
                  </c:pt>
                  <c:pt idx="23">
                    <c:v>10:06</c:v>
                  </c:pt>
                  <c:pt idx="24">
                    <c:v>10:19</c:v>
                  </c:pt>
                  <c:pt idx="25">
                    <c:v>10:22</c:v>
                  </c:pt>
                  <c:pt idx="26">
                    <c:v>10:24</c:v>
                  </c:pt>
                  <c:pt idx="27">
                    <c:v>10:25</c:v>
                  </c:pt>
                  <c:pt idx="28">
                    <c:v>10:26</c:v>
                  </c:pt>
                  <c:pt idx="29">
                    <c:v>10:38</c:v>
                  </c:pt>
                  <c:pt idx="30">
                    <c:v>10:39</c:v>
                  </c:pt>
                  <c:pt idx="31">
                    <c:v>10:40</c:v>
                  </c:pt>
                  <c:pt idx="32">
                    <c:v>10:43</c:v>
                  </c:pt>
                  <c:pt idx="33">
                    <c:v>10:45</c:v>
                  </c:pt>
                  <c:pt idx="34">
                    <c:v>10:47</c:v>
                  </c:pt>
                  <c:pt idx="35">
                    <c:v>10:54</c:v>
                  </c:pt>
                  <c:pt idx="36">
                    <c:v>10:57</c:v>
                  </c:pt>
                  <c:pt idx="37">
                    <c:v>11:00</c:v>
                  </c:pt>
                  <c:pt idx="38">
                    <c:v>11:05</c:v>
                  </c:pt>
                  <c:pt idx="39">
                    <c:v>11:16</c:v>
                  </c:pt>
                  <c:pt idx="40">
                    <c:v>11:23</c:v>
                  </c:pt>
                  <c:pt idx="41">
                    <c:v>11:25</c:v>
                  </c:pt>
                  <c:pt idx="42">
                    <c:v>11:26</c:v>
                  </c:pt>
                  <c:pt idx="43">
                    <c:v>11:30</c:v>
                  </c:pt>
                  <c:pt idx="44">
                    <c:v>11:33</c:v>
                  </c:pt>
                  <c:pt idx="45">
                    <c:v>11:34</c:v>
                  </c:pt>
                  <c:pt idx="46">
                    <c:v>11:37</c:v>
                  </c:pt>
                  <c:pt idx="47">
                    <c:v>11:46</c:v>
                  </c:pt>
                  <c:pt idx="48">
                    <c:v>11:53</c:v>
                  </c:pt>
                  <c:pt idx="49">
                    <c:v>11:55</c:v>
                  </c:pt>
                  <c:pt idx="50">
                    <c:v>11:58</c:v>
                  </c:pt>
                  <c:pt idx="51">
                    <c:v>12:00</c:v>
                  </c:pt>
                  <c:pt idx="52">
                    <c:v>12:03</c:v>
                  </c:pt>
                  <c:pt idx="53">
                    <c:v>12:05</c:v>
                  </c:pt>
                  <c:pt idx="54">
                    <c:v>12:07</c:v>
                  </c:pt>
                  <c:pt idx="55">
                    <c:v>12:08</c:v>
                  </c:pt>
                  <c:pt idx="56">
                    <c:v>12:10</c:v>
                  </c:pt>
                  <c:pt idx="57">
                    <c:v>12:12</c:v>
                  </c:pt>
                  <c:pt idx="58">
                    <c:v>12:14</c:v>
                  </c:pt>
                  <c:pt idx="59">
                    <c:v>12:25</c:v>
                  </c:pt>
                  <c:pt idx="60">
                    <c:v>12:28</c:v>
                  </c:pt>
                  <c:pt idx="61">
                    <c:v>12:32</c:v>
                  </c:pt>
                  <c:pt idx="62">
                    <c:v>12:33</c:v>
                  </c:pt>
                  <c:pt idx="63">
                    <c:v>12:42</c:v>
                  </c:pt>
                  <c:pt idx="64">
                    <c:v>12:48</c:v>
                  </c:pt>
                  <c:pt idx="65">
                    <c:v>12:54</c:v>
                  </c:pt>
                  <c:pt idx="66">
                    <c:v>13:05</c:v>
                  </c:pt>
                  <c:pt idx="67">
                    <c:v>13:17</c:v>
                  </c:pt>
                  <c:pt idx="68">
                    <c:v>13:18</c:v>
                  </c:pt>
                  <c:pt idx="69">
                    <c:v>13:22</c:v>
                  </c:pt>
                  <c:pt idx="70">
                    <c:v>13:25</c:v>
                  </c:pt>
                  <c:pt idx="71">
                    <c:v>13:28</c:v>
                  </c:pt>
                  <c:pt idx="72">
                    <c:v>13:29</c:v>
                  </c:pt>
                  <c:pt idx="73">
                    <c:v>13:33</c:v>
                  </c:pt>
                  <c:pt idx="74">
                    <c:v>13:38</c:v>
                  </c:pt>
                  <c:pt idx="75">
                    <c:v>13:41</c:v>
                  </c:pt>
                  <c:pt idx="76">
                    <c:v>13:43</c:v>
                  </c:pt>
                  <c:pt idx="77">
                    <c:v>13:51</c:v>
                  </c:pt>
                  <c:pt idx="78">
                    <c:v>13:57</c:v>
                  </c:pt>
                  <c:pt idx="79">
                    <c:v>14:00</c:v>
                  </c:pt>
                  <c:pt idx="80">
                    <c:v>14:04</c:v>
                  </c:pt>
                  <c:pt idx="81">
                    <c:v>14:11</c:v>
                  </c:pt>
                  <c:pt idx="82">
                    <c:v>14:15</c:v>
                  </c:pt>
                  <c:pt idx="83">
                    <c:v>14:20</c:v>
                  </c:pt>
                  <c:pt idx="84">
                    <c:v>14:30</c:v>
                  </c:pt>
                  <c:pt idx="85">
                    <c:v>14:34</c:v>
                  </c:pt>
                  <c:pt idx="86">
                    <c:v>14:36</c:v>
                  </c:pt>
                  <c:pt idx="87">
                    <c:v>14:39</c:v>
                  </c:pt>
                  <c:pt idx="88">
                    <c:v>14:49</c:v>
                  </c:pt>
                  <c:pt idx="89">
                    <c:v>14:50</c:v>
                  </c:pt>
                  <c:pt idx="90">
                    <c:v>14:57</c:v>
                  </c:pt>
                  <c:pt idx="91">
                    <c:v>14:58</c:v>
                  </c:pt>
                  <c:pt idx="92">
                    <c:v>15:00</c:v>
                  </c:pt>
                  <c:pt idx="93">
                    <c:v>15:01</c:v>
                  </c:pt>
                  <c:pt idx="94">
                    <c:v>15:03</c:v>
                  </c:pt>
                  <c:pt idx="95">
                    <c:v>15:04</c:v>
                  </c:pt>
                  <c:pt idx="96">
                    <c:v>15:08</c:v>
                  </c:pt>
                  <c:pt idx="97">
                    <c:v>15:10</c:v>
                  </c:pt>
                  <c:pt idx="98">
                    <c:v>15:12</c:v>
                  </c:pt>
                  <c:pt idx="99">
                    <c:v>15:17</c:v>
                  </c:pt>
                  <c:pt idx="100">
                    <c:v>15:20</c:v>
                  </c:pt>
                  <c:pt idx="101">
                    <c:v>15:21</c:v>
                  </c:pt>
                  <c:pt idx="102">
                    <c:v>15:26</c:v>
                  </c:pt>
                  <c:pt idx="103">
                    <c:v>15:33</c:v>
                  </c:pt>
                  <c:pt idx="104">
                    <c:v>15:38</c:v>
                  </c:pt>
                  <c:pt idx="105">
                    <c:v>15:43</c:v>
                  </c:pt>
                  <c:pt idx="106">
                    <c:v>15:46</c:v>
                  </c:pt>
                  <c:pt idx="107">
                    <c:v>15:47</c:v>
                  </c:pt>
                  <c:pt idx="108">
                    <c:v>15:55</c:v>
                  </c:pt>
                  <c:pt idx="109">
                    <c:v>15:57</c:v>
                  </c:pt>
                  <c:pt idx="110">
                    <c:v>16:03</c:v>
                  </c:pt>
                  <c:pt idx="111">
                    <c:v>16:04</c:v>
                  </c:pt>
                  <c:pt idx="112">
                    <c:v>16:07</c:v>
                  </c:pt>
                  <c:pt idx="113">
                    <c:v>16:12</c:v>
                  </c:pt>
                  <c:pt idx="114">
                    <c:v>16:13</c:v>
                  </c:pt>
                  <c:pt idx="115">
                    <c:v>16:20</c:v>
                  </c:pt>
                  <c:pt idx="116">
                    <c:v>16:24</c:v>
                  </c:pt>
                  <c:pt idx="117">
                    <c:v>16:28</c:v>
                  </c:pt>
                  <c:pt idx="118">
                    <c:v>16:30</c:v>
                  </c:pt>
                  <c:pt idx="119">
                    <c:v>16:31</c:v>
                  </c:pt>
                  <c:pt idx="120">
                    <c:v>16:36</c:v>
                  </c:pt>
                  <c:pt idx="121">
                    <c:v>16:46</c:v>
                  </c:pt>
                  <c:pt idx="122">
                    <c:v>16:54</c:v>
                  </c:pt>
                  <c:pt idx="123">
                    <c:v>16:59</c:v>
                  </c:pt>
                  <c:pt idx="124">
                    <c:v>17:01</c:v>
                  </c:pt>
                  <c:pt idx="125">
                    <c:v>17:03</c:v>
                  </c:pt>
                  <c:pt idx="126">
                    <c:v>17:12</c:v>
                  </c:pt>
                  <c:pt idx="127">
                    <c:v>17:13</c:v>
                  </c:pt>
                  <c:pt idx="128">
                    <c:v>17:17</c:v>
                  </c:pt>
                  <c:pt idx="129">
                    <c:v>17:47</c:v>
                  </c:pt>
                  <c:pt idx="130">
                    <c:v>17:48</c:v>
                  </c:pt>
                  <c:pt idx="131">
                    <c:v>17:50</c:v>
                  </c:pt>
                  <c:pt idx="132">
                    <c:v>17:55</c:v>
                  </c:pt>
                  <c:pt idx="133">
                    <c:v>18:04</c:v>
                  </c:pt>
                  <c:pt idx="134">
                    <c:v>18:12</c:v>
                  </c:pt>
                  <c:pt idx="135">
                    <c:v>18:14</c:v>
                  </c:pt>
                  <c:pt idx="136">
                    <c:v>18:16</c:v>
                  </c:pt>
                  <c:pt idx="137">
                    <c:v>18:17</c:v>
                  </c:pt>
                  <c:pt idx="138">
                    <c:v>18:33</c:v>
                  </c:pt>
                  <c:pt idx="139">
                    <c:v>18:41</c:v>
                  </c:pt>
                  <c:pt idx="140">
                    <c:v>18:45</c:v>
                  </c:pt>
                  <c:pt idx="141">
                    <c:v>18:51</c:v>
                  </c:pt>
                  <c:pt idx="142">
                    <c:v>18:52</c:v>
                  </c:pt>
                  <c:pt idx="143">
                    <c:v>18:54</c:v>
                  </c:pt>
                  <c:pt idx="144">
                    <c:v>18:56</c:v>
                  </c:pt>
                  <c:pt idx="145">
                    <c:v>18:58</c:v>
                  </c:pt>
                  <c:pt idx="146">
                    <c:v>19:04</c:v>
                  </c:pt>
                  <c:pt idx="147">
                    <c:v>19:07</c:v>
                  </c:pt>
                  <c:pt idx="148">
                    <c:v>19:13</c:v>
                  </c:pt>
                  <c:pt idx="149">
                    <c:v>19:14</c:v>
                  </c:pt>
                  <c:pt idx="150">
                    <c:v>19:22</c:v>
                  </c:pt>
                  <c:pt idx="151">
                    <c:v>19:23</c:v>
                  </c:pt>
                  <c:pt idx="152">
                    <c:v>19:24</c:v>
                  </c:pt>
                  <c:pt idx="153">
                    <c:v>19:29</c:v>
                  </c:pt>
                  <c:pt idx="154">
                    <c:v>19:31</c:v>
                  </c:pt>
                  <c:pt idx="155">
                    <c:v>19:33</c:v>
                  </c:pt>
                  <c:pt idx="156">
                    <c:v>19:36</c:v>
                  </c:pt>
                  <c:pt idx="157">
                    <c:v>19:40</c:v>
                  </c:pt>
                  <c:pt idx="158">
                    <c:v>19:42</c:v>
                  </c:pt>
                  <c:pt idx="159">
                    <c:v>19:55</c:v>
                  </c:pt>
                  <c:pt idx="160">
                    <c:v>19:57</c:v>
                  </c:pt>
                  <c:pt idx="161">
                    <c:v>19:59</c:v>
                  </c:pt>
                  <c:pt idx="162">
                    <c:v>20:00</c:v>
                  </c:pt>
                  <c:pt idx="163">
                    <c:v>20:05</c:v>
                  </c:pt>
                  <c:pt idx="164">
                    <c:v>20:08</c:v>
                  </c:pt>
                  <c:pt idx="165">
                    <c:v>20:09</c:v>
                  </c:pt>
                  <c:pt idx="166">
                    <c:v>20:11</c:v>
                  </c:pt>
                  <c:pt idx="167">
                    <c:v>20:12</c:v>
                  </c:pt>
                  <c:pt idx="168">
                    <c:v>20:20</c:v>
                  </c:pt>
                  <c:pt idx="169">
                    <c:v>20:22</c:v>
                  </c:pt>
                  <c:pt idx="170">
                    <c:v>20:25</c:v>
                  </c:pt>
                  <c:pt idx="171">
                    <c:v>20:30</c:v>
                  </c:pt>
                  <c:pt idx="172">
                    <c:v>20:36</c:v>
                  </c:pt>
                  <c:pt idx="173">
                    <c:v>20:40</c:v>
                  </c:pt>
                  <c:pt idx="174">
                    <c:v>20:41</c:v>
                  </c:pt>
                  <c:pt idx="175">
                    <c:v>20:50</c:v>
                  </c:pt>
                  <c:pt idx="176">
                    <c:v>20:53</c:v>
                  </c:pt>
                  <c:pt idx="177">
                    <c:v>21:06</c:v>
                  </c:pt>
                  <c:pt idx="178">
                    <c:v>21:17</c:v>
                  </c:pt>
                  <c:pt idx="179">
                    <c:v>21:23</c:v>
                  </c:pt>
                  <c:pt idx="180">
                    <c:v>21:26</c:v>
                  </c:pt>
                  <c:pt idx="181">
                    <c:v>21:38</c:v>
                  </c:pt>
                  <c:pt idx="182">
                    <c:v>21:40</c:v>
                  </c:pt>
                  <c:pt idx="183">
                    <c:v>21:49</c:v>
                  </c:pt>
                  <c:pt idx="184">
                    <c:v>21:53</c:v>
                  </c:pt>
                  <c:pt idx="185">
                    <c:v>21:56</c:v>
                  </c:pt>
                  <c:pt idx="186">
                    <c:v>21:58</c:v>
                  </c:pt>
                  <c:pt idx="187">
                    <c:v>22:04</c:v>
                  </c:pt>
                  <c:pt idx="188">
                    <c:v>22:08</c:v>
                  </c:pt>
                  <c:pt idx="189">
                    <c:v>22:24</c:v>
                  </c:pt>
                  <c:pt idx="190">
                    <c:v>22:39</c:v>
                  </c:pt>
                  <c:pt idx="191">
                    <c:v>22:53</c:v>
                  </c:pt>
                  <c:pt idx="192">
                    <c:v>22:55</c:v>
                  </c:pt>
                  <c:pt idx="193">
                    <c:v>22:56</c:v>
                  </c:pt>
                  <c:pt idx="194">
                    <c:v>23:19</c:v>
                  </c:pt>
                  <c:pt idx="195">
                    <c:v>23:20</c:v>
                  </c:pt>
                  <c:pt idx="196">
                    <c:v>23:33</c:v>
                  </c:pt>
                  <c:pt idx="197">
                    <c:v>23:34</c:v>
                  </c:pt>
                  <c:pt idx="198">
                    <c:v>23:43</c:v>
                  </c:pt>
                  <c:pt idx="199">
                    <c:v>23:45</c:v>
                  </c:pt>
                  <c:pt idx="200">
                    <c:v>23:49</c:v>
                  </c:pt>
                  <c:pt idx="201">
                    <c:v>23:51</c:v>
                  </c:pt>
                  <c:pt idx="202">
                    <c:v>23:52</c:v>
                  </c:pt>
                  <c:pt idx="203">
                    <c:v>23:55</c:v>
                  </c:pt>
                  <c:pt idx="204">
                    <c:v>00:06</c:v>
                  </c:pt>
                  <c:pt idx="205">
                    <c:v>00:10</c:v>
                  </c:pt>
                  <c:pt idx="206">
                    <c:v>00:15</c:v>
                  </c:pt>
                  <c:pt idx="207">
                    <c:v>00:16</c:v>
                  </c:pt>
                  <c:pt idx="208">
                    <c:v>00:19</c:v>
                  </c:pt>
                  <c:pt idx="209">
                    <c:v>00:26</c:v>
                  </c:pt>
                  <c:pt idx="210">
                    <c:v>00:30</c:v>
                  </c:pt>
                  <c:pt idx="211">
                    <c:v>00:31</c:v>
                  </c:pt>
                  <c:pt idx="212">
                    <c:v>00:36</c:v>
                  </c:pt>
                  <c:pt idx="213">
                    <c:v>00:37</c:v>
                  </c:pt>
                  <c:pt idx="214">
                    <c:v>00:47</c:v>
                  </c:pt>
                  <c:pt idx="215">
                    <c:v>01:02</c:v>
                  </c:pt>
                  <c:pt idx="216">
                    <c:v>01:05</c:v>
                  </c:pt>
                  <c:pt idx="217">
                    <c:v>01:15</c:v>
                  </c:pt>
                  <c:pt idx="218">
                    <c:v>01:16</c:v>
                  </c:pt>
                  <c:pt idx="219">
                    <c:v>01:18</c:v>
                  </c:pt>
                  <c:pt idx="220">
                    <c:v>01:26</c:v>
                  </c:pt>
                  <c:pt idx="221">
                    <c:v>01:42</c:v>
                  </c:pt>
                  <c:pt idx="222">
                    <c:v>01:48</c:v>
                  </c:pt>
                  <c:pt idx="223">
                    <c:v>01:49</c:v>
                  </c:pt>
                  <c:pt idx="224">
                    <c:v>01:56</c:v>
                  </c:pt>
                  <c:pt idx="225">
                    <c:v>02:00</c:v>
                  </c:pt>
                  <c:pt idx="226">
                    <c:v>02:04</c:v>
                  </c:pt>
                  <c:pt idx="227">
                    <c:v>02:06</c:v>
                  </c:pt>
                  <c:pt idx="228">
                    <c:v>02:08</c:v>
                  </c:pt>
                  <c:pt idx="229">
                    <c:v>02:17</c:v>
                  </c:pt>
                  <c:pt idx="230">
                    <c:v>02:33</c:v>
                  </c:pt>
                  <c:pt idx="231">
                    <c:v>02:37</c:v>
                  </c:pt>
                  <c:pt idx="232">
                    <c:v>02:43</c:v>
                  </c:pt>
                  <c:pt idx="233">
                    <c:v>02:52</c:v>
                  </c:pt>
                  <c:pt idx="234">
                    <c:v>02:55</c:v>
                  </c:pt>
                  <c:pt idx="235">
                    <c:v>03:16</c:v>
                  </c:pt>
                  <c:pt idx="236">
                    <c:v>03:18</c:v>
                  </c:pt>
                  <c:pt idx="237">
                    <c:v>03:22</c:v>
                  </c:pt>
                  <c:pt idx="238">
                    <c:v>03:32</c:v>
                  </c:pt>
                  <c:pt idx="239">
                    <c:v>03:33</c:v>
                  </c:pt>
                  <c:pt idx="240">
                    <c:v>03:44</c:v>
                  </c:pt>
                  <c:pt idx="241">
                    <c:v>03:53</c:v>
                  </c:pt>
                  <c:pt idx="242">
                    <c:v>03:56</c:v>
                  </c:pt>
                  <c:pt idx="243">
                    <c:v>03:57</c:v>
                  </c:pt>
                  <c:pt idx="244">
                    <c:v>04:02</c:v>
                  </c:pt>
                  <c:pt idx="245">
                    <c:v>04:05</c:v>
                  </c:pt>
                  <c:pt idx="246">
                    <c:v>04:11</c:v>
                  </c:pt>
                  <c:pt idx="247">
                    <c:v>04:20</c:v>
                  </c:pt>
                  <c:pt idx="248">
                    <c:v>04:22</c:v>
                  </c:pt>
                  <c:pt idx="249">
                    <c:v>04:26</c:v>
                  </c:pt>
                  <c:pt idx="250">
                    <c:v>04:27</c:v>
                  </c:pt>
                  <c:pt idx="251">
                    <c:v>04:30</c:v>
                  </c:pt>
                  <c:pt idx="252">
                    <c:v>04:37</c:v>
                  </c:pt>
                  <c:pt idx="253">
                    <c:v>04:47</c:v>
                  </c:pt>
                  <c:pt idx="254">
                    <c:v>04:52</c:v>
                  </c:pt>
                  <c:pt idx="255">
                    <c:v>05:00</c:v>
                  </c:pt>
                  <c:pt idx="256">
                    <c:v>05:01</c:v>
                  </c:pt>
                  <c:pt idx="257">
                    <c:v>05:02</c:v>
                  </c:pt>
                  <c:pt idx="258">
                    <c:v>05:08</c:v>
                  </c:pt>
                  <c:pt idx="259">
                    <c:v>05:14</c:v>
                  </c:pt>
                  <c:pt idx="260">
                    <c:v>05:22</c:v>
                  </c:pt>
                  <c:pt idx="261">
                    <c:v>05:24</c:v>
                  </c:pt>
                  <c:pt idx="262">
                    <c:v>05:39</c:v>
                  </c:pt>
                  <c:pt idx="263">
                    <c:v>05:45</c:v>
                  </c:pt>
                  <c:pt idx="264">
                    <c:v>05:47</c:v>
                  </c:pt>
                  <c:pt idx="265">
                    <c:v>05:55</c:v>
                  </c:pt>
                  <c:pt idx="266">
                    <c:v>06:09</c:v>
                  </c:pt>
                  <c:pt idx="267">
                    <c:v>06:15</c:v>
                  </c:pt>
                  <c:pt idx="268">
                    <c:v>06:16</c:v>
                  </c:pt>
                  <c:pt idx="269">
                    <c:v>06:21</c:v>
                  </c:pt>
                  <c:pt idx="270">
                    <c:v>06:24</c:v>
                  </c:pt>
                  <c:pt idx="271">
                    <c:v>06:26</c:v>
                  </c:pt>
                  <c:pt idx="272">
                    <c:v>06:27</c:v>
                  </c:pt>
                  <c:pt idx="273">
                    <c:v>06:34</c:v>
                  </c:pt>
                  <c:pt idx="274">
                    <c:v>06:36</c:v>
                  </c:pt>
                  <c:pt idx="275">
                    <c:v>06:37</c:v>
                  </c:pt>
                  <c:pt idx="276">
                    <c:v>06:57</c:v>
                  </c:pt>
                  <c:pt idx="277">
                    <c:v>07:00</c:v>
                  </c:pt>
                  <c:pt idx="278">
                    <c:v>07:06</c:v>
                  </c:pt>
                  <c:pt idx="279">
                    <c:v>07:12</c:v>
                  </c:pt>
                  <c:pt idx="280">
                    <c:v>07:16</c:v>
                  </c:pt>
                  <c:pt idx="281">
                    <c:v>07:17</c:v>
                  </c:pt>
                  <c:pt idx="282">
                    <c:v>07:20</c:v>
                  </c:pt>
                  <c:pt idx="283">
                    <c:v>07:21</c:v>
                  </c:pt>
                  <c:pt idx="284">
                    <c:v>07:29</c:v>
                  </c:pt>
                  <c:pt idx="285">
                    <c:v>07:42</c:v>
                  </c:pt>
                  <c:pt idx="286">
                    <c:v>07:44</c:v>
                  </c:pt>
                  <c:pt idx="287">
                    <c:v>07:52</c:v>
                  </c:pt>
                  <c:pt idx="288">
                    <c:v>07:55</c:v>
                  </c:pt>
                  <c:pt idx="289">
                    <c:v>07:57</c:v>
                  </c:pt>
                </c:lvl>
                <c:lvl>
                  <c:pt idx="0">
                    <c:v>2024-07-26</c:v>
                  </c:pt>
                  <c:pt idx="204">
                    <c:v>2024-07-27</c:v>
                  </c:pt>
                </c:lvl>
              </c:multiLvlStrCache>
            </c:multiLvlStrRef>
          </c:cat>
          <c:val>
            <c:numRef>
              <c:f>1</c:f>
              <c:numCache>
                <c:formatCode>General</c:formatCode>
                <c:ptCount val="290"/>
                <c:pt idx="0">
                  <c:v>1</c:v>
                </c:pt>
                <c:pt idx="5">
                  <c:v>1</c:v>
                </c:pt>
                <c:pt idx="7">
                  <c:v>1</c:v>
                </c:pt>
                <c:pt idx="8">
                  <c:v>1</c:v>
                </c:pt>
                <c:pt idx="10">
                  <c:v>1</c:v>
                </c:pt>
                <c:pt idx="11">
                  <c:v>1</c:v>
                </c:pt>
                <c:pt idx="13">
                  <c:v>1</c:v>
                </c:pt>
                <c:pt idx="15">
                  <c:v>1</c:v>
                </c:pt>
                <c:pt idx="17">
                  <c:v>1</c:v>
                </c:pt>
                <c:pt idx="21">
                  <c:v>1</c:v>
                </c:pt>
                <c:pt idx="22">
                  <c:v>1</c:v>
                </c:pt>
                <c:pt idx="24">
                  <c:v>1</c:v>
                </c:pt>
                <c:pt idx="26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2">
                  <c:v>1</c:v>
                </c:pt>
                <c:pt idx="34">
                  <c:v>1</c:v>
                </c:pt>
                <c:pt idx="35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3">
                  <c:v>2</c:v>
                </c:pt>
                <c:pt idx="64">
                  <c:v>1</c:v>
                </c:pt>
                <c:pt idx="68">
                  <c:v>1</c:v>
                </c:pt>
                <c:pt idx="69">
                  <c:v>2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9">
                  <c:v>1</c:v>
                </c:pt>
                <c:pt idx="84">
                  <c:v>1</c:v>
                </c:pt>
                <c:pt idx="85">
                  <c:v>1</c:v>
                </c:pt>
                <c:pt idx="87">
                  <c:v>1</c:v>
                </c:pt>
                <c:pt idx="88">
                  <c:v>1</c:v>
                </c:pt>
                <c:pt idx="90">
                  <c:v>1</c:v>
                </c:pt>
                <c:pt idx="91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100">
                  <c:v>1</c:v>
                </c:pt>
                <c:pt idx="101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2">
                  <c:v>1</c:v>
                </c:pt>
                <c:pt idx="113">
                  <c:v>1</c:v>
                </c:pt>
                <c:pt idx="118">
                  <c:v>1</c:v>
                </c:pt>
                <c:pt idx="119">
                  <c:v>2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9">
                  <c:v>1</c:v>
                </c:pt>
                <c:pt idx="141">
                  <c:v>1</c:v>
                </c:pt>
                <c:pt idx="144">
                  <c:v>1</c:v>
                </c:pt>
                <c:pt idx="146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6">
                  <c:v>1</c:v>
                </c:pt>
                <c:pt idx="157">
                  <c:v>1</c:v>
                </c:pt>
                <c:pt idx="164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4">
                  <c:v>1</c:v>
                </c:pt>
                <c:pt idx="176">
                  <c:v>1</c:v>
                </c:pt>
                <c:pt idx="180">
                  <c:v>1</c:v>
                </c:pt>
                <c:pt idx="185">
                  <c:v>1</c:v>
                </c:pt>
                <c:pt idx="187">
                  <c:v>1</c:v>
                </c:pt>
                <c:pt idx="190">
                  <c:v>1</c:v>
                </c:pt>
                <c:pt idx="191">
                  <c:v>1</c:v>
                </c:pt>
                <c:pt idx="193">
                  <c:v>1</c:v>
                </c:pt>
                <c:pt idx="195">
                  <c:v>1</c:v>
                </c:pt>
                <c:pt idx="197">
                  <c:v>1</c:v>
                </c:pt>
                <c:pt idx="198">
                  <c:v>1</c:v>
                </c:pt>
                <c:pt idx="201">
                  <c:v>1</c:v>
                </c:pt>
                <c:pt idx="202">
                  <c:v>1</c:v>
                </c:pt>
                <c:pt idx="205">
                  <c:v>1</c:v>
                </c:pt>
                <c:pt idx="206">
                  <c:v>1</c:v>
                </c:pt>
                <c:pt idx="211">
                  <c:v>1</c:v>
                </c:pt>
                <c:pt idx="213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2</c:v>
                </c:pt>
                <c:pt idx="218">
                  <c:v>1</c:v>
                </c:pt>
                <c:pt idx="224">
                  <c:v>1</c:v>
                </c:pt>
                <c:pt idx="225">
                  <c:v>1</c:v>
                </c:pt>
                <c:pt idx="227">
                  <c:v>1</c:v>
                </c:pt>
                <c:pt idx="228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4">
                  <c:v>1</c:v>
                </c:pt>
                <c:pt idx="238">
                  <c:v>1</c:v>
                </c:pt>
                <c:pt idx="239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6">
                  <c:v>2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2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1">
                  <c:v>1</c:v>
                </c:pt>
                <c:pt idx="267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2</c:v>
                </c:pt>
                <c:pt idx="277">
                  <c:v>1</c:v>
                </c:pt>
                <c:pt idx="279">
                  <c:v>1</c:v>
                </c:pt>
                <c:pt idx="282">
                  <c:v>1</c:v>
                </c:pt>
                <c:pt idx="284">
                  <c:v>1</c:v>
                </c:pt>
                <c:pt idx="286">
                  <c:v>1</c:v>
                </c:pt>
                <c:pt idx="288">
                  <c:v>1</c:v>
                </c:pt>
              </c:numCache>
            </c:numRef>
          </c:val>
        </c:ser>
        <c:gapWidth val="100"/>
        <c:shape val="cone"/>
        <c:axId val="17591246"/>
        <c:axId val="27709887"/>
        <c:axId val="0"/>
      </c:bar3DChart>
      <c:catAx>
        <c:axId val="1759124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900" strike="noStrike" u="none">
                    <a:solidFill>
                      <a:srgbClr val="1a237e"/>
                    </a:solidFill>
                    <a:uFillTx/>
                    <a:latin typeface="Arial"/>
                    <a:ea typeface="DejaVu Sans"/>
                  </a:rPr>
                  <a:t>Date &amp; Time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hh:mm\ AM/PM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7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27709887"/>
        <c:crosses val="autoZero"/>
        <c:auto val="1"/>
        <c:lblAlgn val="ctr"/>
        <c:lblOffset val="100"/>
        <c:noMultiLvlLbl val="0"/>
      </c:catAx>
      <c:valAx>
        <c:axId val="2770988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900" strike="noStrike" u="none">
                    <a:solidFill>
                      <a:srgbClr val="1a237e"/>
                    </a:solidFill>
                    <a:uFillTx/>
                    <a:latin typeface="Arial"/>
                    <a:ea typeface="DejaVu Sans"/>
                  </a:rPr>
                  <a:t> Count per minute</a:t>
                </a:r>
              </a:p>
            </c:rich>
          </c:tx>
          <c:layout>
            <c:manualLayout>
              <c:xMode val="edge"/>
              <c:yMode val="edge"/>
              <c:x val="0.0356562822973572"/>
              <c:y val="0.300958130988319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17591246"/>
        <c:crosses val="autoZero"/>
        <c:crossBetween val="between"/>
      </c:valAx>
    </c:plotArea>
    <c:legend>
      <c:legendPos val="r"/>
      <c:overlay val="0"/>
      <c:spPr>
        <a:gradFill>
          <a:gsLst>
            <a:gs pos="0">
              <a:srgbClr val="b4c7dc"/>
            </a:gs>
            <a:gs pos="50000">
              <a:srgbClr val="ffd7d7"/>
            </a:gs>
            <a:gs pos="100000">
              <a:srgbClr val="b4c7dc"/>
            </a:gs>
          </a:gsLst>
          <a:lin ang="2700000"/>
        </a:gradFill>
        <a:ln w="0">
          <a:noFill/>
        </a:ln>
      </c:spPr>
      <c:txPr>
        <a:bodyPr/>
        <a:lstStyle/>
        <a:p>
          <a:pPr>
            <a:defRPr b="1" sz="1000" strike="noStrike" u="none">
              <a:solidFill>
                <a:srgbClr val="1a237e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gradFill>
      <a:gsLst>
        <a:gs pos="0">
          <a:srgbClr val="b4c7dc"/>
        </a:gs>
        <a:gs pos="100000">
          <a:srgbClr val="ffd7d7"/>
        </a:gs>
      </a:gsLst>
      <a:path path="rect">
        <a:fillToRect l="50000" t="50000" r="50000" b="50000"/>
      </a:path>
    </a:gradFill>
    <a:ln cap="rnd" w="18360">
      <a:solidFill>
        <a:srgbClr val="000000"/>
      </a:solidFill>
      <a:prstDash val="sysDashDot"/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sz="1300" strike="noStrike" u="none">
                <a:solidFill>
                  <a:srgbClr val="000000"/>
                </a:solidFill>
                <a:uFillTx/>
                <a:latin typeface="Arial"/>
                <a:ea typeface="DejaVu Sans"/>
              </a:rPr>
              <a:t>Firewall Logs - </a:t>
            </a:r>
          </a:p>
          <a:p>
            <a:pPr>
              <a:defRPr b="0" sz="1300" strike="noStrike" u="none">
                <a:uFillTx/>
                <a:latin typeface="Arial"/>
              </a:defRPr>
            </a:pPr>
            <a:r>
              <a:rPr b="0" sz="1100" strike="noStrike" u="none">
                <a:solidFill>
                  <a:srgbClr val="000000"/>
                </a:solidFill>
                <a:uFillTx/>
                <a:latin typeface="Arial"/>
                <a:ea typeface="DejaVu Sans"/>
              </a:rPr>
              <a:t># of Allowed &amp; Blocked IPs</a:t>
            </a:r>
          </a:p>
        </c:rich>
      </c:tx>
      <c:overlay val="0"/>
      <c:spPr>
        <a:noFill/>
        <a:ln w="0">
          <a:noFill/>
        </a:ln>
      </c:spPr>
    </c:title>
    <c:autoTitleDeleted val="0"/>
    <c:view3D>
      <c:rotX val="11"/>
      <c:rotY val="25"/>
      <c:rAngAx val="1"/>
      <c:perspective val="40"/>
    </c:view3D>
    <c:floor>
      <c:spPr>
        <a:solidFill>
          <a:srgbClr val="cccccc"/>
        </a:solidFill>
        <a:ln w="0">
          <a:noFill/>
        </a:ln>
      </c:spPr>
    </c:floor>
    <c:sideWall>
      <c:spPr>
        <a:noFill/>
        <a:ln w="0">
          <a:solidFill>
            <a:srgbClr val="b3b3b3"/>
          </a:solidFill>
        </a:ln>
      </c:spPr>
    </c:sideWall>
    <c:backWall>
      <c:spPr>
        <a:noFill/>
        <a:ln w="0">
          <a:solidFill>
            <a:srgbClr val="b3b3b3"/>
          </a:solidFill>
        </a:ln>
      </c:spPr>
    </c:backWall>
    <c:plotArea>
      <c:bar3DChart>
        <c:barDir val="col"/>
        <c:grouping val="clustered"/>
        <c:varyColors val="0"/>
        <c:ser>
          <c:idx val="0"/>
          <c:order val="0"/>
          <c:tx>
            <c:strRef>
              <c:f>label 0</c:f>
              <c:strCache>
                <c:ptCount val="1"/>
                <c:pt idx="0">
                  <c:v>Allowed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categories</c:f>
              <c:multiLvlStrCache>
                <c:ptCount val="290"/>
                <c:lvl>
                  <c:pt idx="0">
                    <c:v>08:00</c:v>
                  </c:pt>
                  <c:pt idx="1">
                    <c:v>08:03</c:v>
                  </c:pt>
                  <c:pt idx="2">
                    <c:v>08:07</c:v>
                  </c:pt>
                  <c:pt idx="3">
                    <c:v>08:10</c:v>
                  </c:pt>
                  <c:pt idx="4">
                    <c:v>08:16</c:v>
                  </c:pt>
                  <c:pt idx="5">
                    <c:v>08:22</c:v>
                  </c:pt>
                  <c:pt idx="6">
                    <c:v>08:35</c:v>
                  </c:pt>
                  <c:pt idx="7">
                    <c:v>08:43</c:v>
                  </c:pt>
                  <c:pt idx="8">
                    <c:v>08:54</c:v>
                  </c:pt>
                  <c:pt idx="9">
                    <c:v>08:55</c:v>
                  </c:pt>
                  <c:pt idx="10">
                    <c:v>08:57</c:v>
                  </c:pt>
                  <c:pt idx="11">
                    <c:v>08:58</c:v>
                  </c:pt>
                  <c:pt idx="12">
                    <c:v>09:04</c:v>
                  </c:pt>
                  <c:pt idx="13">
                    <c:v>09:06</c:v>
                  </c:pt>
                  <c:pt idx="14">
                    <c:v>09:16</c:v>
                  </c:pt>
                  <c:pt idx="15">
                    <c:v>09:22</c:v>
                  </c:pt>
                  <c:pt idx="16">
                    <c:v>09:24</c:v>
                  </c:pt>
                  <c:pt idx="17">
                    <c:v>09:28</c:v>
                  </c:pt>
                  <c:pt idx="18">
                    <c:v>09:31</c:v>
                  </c:pt>
                  <c:pt idx="19">
                    <c:v>09:35</c:v>
                  </c:pt>
                  <c:pt idx="20">
                    <c:v>09:41</c:v>
                  </c:pt>
                  <c:pt idx="21">
                    <c:v>09:56</c:v>
                  </c:pt>
                  <c:pt idx="22">
                    <c:v>10:01</c:v>
                  </c:pt>
                  <c:pt idx="23">
                    <c:v>10:06</c:v>
                  </c:pt>
                  <c:pt idx="24">
                    <c:v>10:19</c:v>
                  </c:pt>
                  <c:pt idx="25">
                    <c:v>10:22</c:v>
                  </c:pt>
                  <c:pt idx="26">
                    <c:v>10:24</c:v>
                  </c:pt>
                  <c:pt idx="27">
                    <c:v>10:25</c:v>
                  </c:pt>
                  <c:pt idx="28">
                    <c:v>10:26</c:v>
                  </c:pt>
                  <c:pt idx="29">
                    <c:v>10:38</c:v>
                  </c:pt>
                  <c:pt idx="30">
                    <c:v>10:39</c:v>
                  </c:pt>
                  <c:pt idx="31">
                    <c:v>10:40</c:v>
                  </c:pt>
                  <c:pt idx="32">
                    <c:v>10:43</c:v>
                  </c:pt>
                  <c:pt idx="33">
                    <c:v>10:45</c:v>
                  </c:pt>
                  <c:pt idx="34">
                    <c:v>10:47</c:v>
                  </c:pt>
                  <c:pt idx="35">
                    <c:v>10:54</c:v>
                  </c:pt>
                  <c:pt idx="36">
                    <c:v>10:57</c:v>
                  </c:pt>
                  <c:pt idx="37">
                    <c:v>11:00</c:v>
                  </c:pt>
                  <c:pt idx="38">
                    <c:v>11:05</c:v>
                  </c:pt>
                  <c:pt idx="39">
                    <c:v>11:16</c:v>
                  </c:pt>
                  <c:pt idx="40">
                    <c:v>11:23</c:v>
                  </c:pt>
                  <c:pt idx="41">
                    <c:v>11:25</c:v>
                  </c:pt>
                  <c:pt idx="42">
                    <c:v>11:26</c:v>
                  </c:pt>
                  <c:pt idx="43">
                    <c:v>11:30</c:v>
                  </c:pt>
                  <c:pt idx="44">
                    <c:v>11:33</c:v>
                  </c:pt>
                  <c:pt idx="45">
                    <c:v>11:34</c:v>
                  </c:pt>
                  <c:pt idx="46">
                    <c:v>11:37</c:v>
                  </c:pt>
                  <c:pt idx="47">
                    <c:v>11:46</c:v>
                  </c:pt>
                  <c:pt idx="48">
                    <c:v>11:53</c:v>
                  </c:pt>
                  <c:pt idx="49">
                    <c:v>11:55</c:v>
                  </c:pt>
                  <c:pt idx="50">
                    <c:v>11:58</c:v>
                  </c:pt>
                  <c:pt idx="51">
                    <c:v>12:00</c:v>
                  </c:pt>
                  <c:pt idx="52">
                    <c:v>12:03</c:v>
                  </c:pt>
                  <c:pt idx="53">
                    <c:v>12:05</c:v>
                  </c:pt>
                  <c:pt idx="54">
                    <c:v>12:07</c:v>
                  </c:pt>
                  <c:pt idx="55">
                    <c:v>12:08</c:v>
                  </c:pt>
                  <c:pt idx="56">
                    <c:v>12:10</c:v>
                  </c:pt>
                  <c:pt idx="57">
                    <c:v>12:12</c:v>
                  </c:pt>
                  <c:pt idx="58">
                    <c:v>12:14</c:v>
                  </c:pt>
                  <c:pt idx="59">
                    <c:v>12:25</c:v>
                  </c:pt>
                  <c:pt idx="60">
                    <c:v>12:28</c:v>
                  </c:pt>
                  <c:pt idx="61">
                    <c:v>12:32</c:v>
                  </c:pt>
                  <c:pt idx="62">
                    <c:v>12:33</c:v>
                  </c:pt>
                  <c:pt idx="63">
                    <c:v>12:42</c:v>
                  </c:pt>
                  <c:pt idx="64">
                    <c:v>12:48</c:v>
                  </c:pt>
                  <c:pt idx="65">
                    <c:v>12:54</c:v>
                  </c:pt>
                  <c:pt idx="66">
                    <c:v>13:05</c:v>
                  </c:pt>
                  <c:pt idx="67">
                    <c:v>13:17</c:v>
                  </c:pt>
                  <c:pt idx="68">
                    <c:v>13:18</c:v>
                  </c:pt>
                  <c:pt idx="69">
                    <c:v>13:22</c:v>
                  </c:pt>
                  <c:pt idx="70">
                    <c:v>13:25</c:v>
                  </c:pt>
                  <c:pt idx="71">
                    <c:v>13:28</c:v>
                  </c:pt>
                  <c:pt idx="72">
                    <c:v>13:29</c:v>
                  </c:pt>
                  <c:pt idx="73">
                    <c:v>13:33</c:v>
                  </c:pt>
                  <c:pt idx="74">
                    <c:v>13:38</c:v>
                  </c:pt>
                  <c:pt idx="75">
                    <c:v>13:41</c:v>
                  </c:pt>
                  <c:pt idx="76">
                    <c:v>13:43</c:v>
                  </c:pt>
                  <c:pt idx="77">
                    <c:v>13:51</c:v>
                  </c:pt>
                  <c:pt idx="78">
                    <c:v>13:57</c:v>
                  </c:pt>
                  <c:pt idx="79">
                    <c:v>14:00</c:v>
                  </c:pt>
                  <c:pt idx="80">
                    <c:v>14:04</c:v>
                  </c:pt>
                  <c:pt idx="81">
                    <c:v>14:11</c:v>
                  </c:pt>
                  <c:pt idx="82">
                    <c:v>14:15</c:v>
                  </c:pt>
                  <c:pt idx="83">
                    <c:v>14:20</c:v>
                  </c:pt>
                  <c:pt idx="84">
                    <c:v>14:30</c:v>
                  </c:pt>
                  <c:pt idx="85">
                    <c:v>14:34</c:v>
                  </c:pt>
                  <c:pt idx="86">
                    <c:v>14:36</c:v>
                  </c:pt>
                  <c:pt idx="87">
                    <c:v>14:39</c:v>
                  </c:pt>
                  <c:pt idx="88">
                    <c:v>14:49</c:v>
                  </c:pt>
                  <c:pt idx="89">
                    <c:v>14:50</c:v>
                  </c:pt>
                  <c:pt idx="90">
                    <c:v>14:57</c:v>
                  </c:pt>
                  <c:pt idx="91">
                    <c:v>14:58</c:v>
                  </c:pt>
                  <c:pt idx="92">
                    <c:v>15:00</c:v>
                  </c:pt>
                  <c:pt idx="93">
                    <c:v>15:01</c:v>
                  </c:pt>
                  <c:pt idx="94">
                    <c:v>15:03</c:v>
                  </c:pt>
                  <c:pt idx="95">
                    <c:v>15:04</c:v>
                  </c:pt>
                  <c:pt idx="96">
                    <c:v>15:08</c:v>
                  </c:pt>
                  <c:pt idx="97">
                    <c:v>15:10</c:v>
                  </c:pt>
                  <c:pt idx="98">
                    <c:v>15:12</c:v>
                  </c:pt>
                  <c:pt idx="99">
                    <c:v>15:17</c:v>
                  </c:pt>
                  <c:pt idx="100">
                    <c:v>15:20</c:v>
                  </c:pt>
                  <c:pt idx="101">
                    <c:v>15:21</c:v>
                  </c:pt>
                  <c:pt idx="102">
                    <c:v>15:26</c:v>
                  </c:pt>
                  <c:pt idx="103">
                    <c:v>15:33</c:v>
                  </c:pt>
                  <c:pt idx="104">
                    <c:v>15:38</c:v>
                  </c:pt>
                  <c:pt idx="105">
                    <c:v>15:43</c:v>
                  </c:pt>
                  <c:pt idx="106">
                    <c:v>15:46</c:v>
                  </c:pt>
                  <c:pt idx="107">
                    <c:v>15:47</c:v>
                  </c:pt>
                  <c:pt idx="108">
                    <c:v>15:55</c:v>
                  </c:pt>
                  <c:pt idx="109">
                    <c:v>15:57</c:v>
                  </c:pt>
                  <c:pt idx="110">
                    <c:v>16:03</c:v>
                  </c:pt>
                  <c:pt idx="111">
                    <c:v>16:04</c:v>
                  </c:pt>
                  <c:pt idx="112">
                    <c:v>16:07</c:v>
                  </c:pt>
                  <c:pt idx="113">
                    <c:v>16:12</c:v>
                  </c:pt>
                  <c:pt idx="114">
                    <c:v>16:13</c:v>
                  </c:pt>
                  <c:pt idx="115">
                    <c:v>16:20</c:v>
                  </c:pt>
                  <c:pt idx="116">
                    <c:v>16:24</c:v>
                  </c:pt>
                  <c:pt idx="117">
                    <c:v>16:28</c:v>
                  </c:pt>
                  <c:pt idx="118">
                    <c:v>16:30</c:v>
                  </c:pt>
                  <c:pt idx="119">
                    <c:v>16:31</c:v>
                  </c:pt>
                  <c:pt idx="120">
                    <c:v>16:36</c:v>
                  </c:pt>
                  <c:pt idx="121">
                    <c:v>16:46</c:v>
                  </c:pt>
                  <c:pt idx="122">
                    <c:v>16:54</c:v>
                  </c:pt>
                  <c:pt idx="123">
                    <c:v>16:59</c:v>
                  </c:pt>
                  <c:pt idx="124">
                    <c:v>17:01</c:v>
                  </c:pt>
                  <c:pt idx="125">
                    <c:v>17:03</c:v>
                  </c:pt>
                  <c:pt idx="126">
                    <c:v>17:12</c:v>
                  </c:pt>
                  <c:pt idx="127">
                    <c:v>17:13</c:v>
                  </c:pt>
                  <c:pt idx="128">
                    <c:v>17:17</c:v>
                  </c:pt>
                  <c:pt idx="129">
                    <c:v>17:47</c:v>
                  </c:pt>
                  <c:pt idx="130">
                    <c:v>17:48</c:v>
                  </c:pt>
                  <c:pt idx="131">
                    <c:v>17:50</c:v>
                  </c:pt>
                  <c:pt idx="132">
                    <c:v>17:55</c:v>
                  </c:pt>
                  <c:pt idx="133">
                    <c:v>18:04</c:v>
                  </c:pt>
                  <c:pt idx="134">
                    <c:v>18:12</c:v>
                  </c:pt>
                  <c:pt idx="135">
                    <c:v>18:14</c:v>
                  </c:pt>
                  <c:pt idx="136">
                    <c:v>18:16</c:v>
                  </c:pt>
                  <c:pt idx="137">
                    <c:v>18:17</c:v>
                  </c:pt>
                  <c:pt idx="138">
                    <c:v>18:33</c:v>
                  </c:pt>
                  <c:pt idx="139">
                    <c:v>18:41</c:v>
                  </c:pt>
                  <c:pt idx="140">
                    <c:v>18:45</c:v>
                  </c:pt>
                  <c:pt idx="141">
                    <c:v>18:51</c:v>
                  </c:pt>
                  <c:pt idx="142">
                    <c:v>18:52</c:v>
                  </c:pt>
                  <c:pt idx="143">
                    <c:v>18:54</c:v>
                  </c:pt>
                  <c:pt idx="144">
                    <c:v>18:56</c:v>
                  </c:pt>
                  <c:pt idx="145">
                    <c:v>18:58</c:v>
                  </c:pt>
                  <c:pt idx="146">
                    <c:v>19:04</c:v>
                  </c:pt>
                  <c:pt idx="147">
                    <c:v>19:07</c:v>
                  </c:pt>
                  <c:pt idx="148">
                    <c:v>19:13</c:v>
                  </c:pt>
                  <c:pt idx="149">
                    <c:v>19:14</c:v>
                  </c:pt>
                  <c:pt idx="150">
                    <c:v>19:22</c:v>
                  </c:pt>
                  <c:pt idx="151">
                    <c:v>19:23</c:v>
                  </c:pt>
                  <c:pt idx="152">
                    <c:v>19:24</c:v>
                  </c:pt>
                  <c:pt idx="153">
                    <c:v>19:29</c:v>
                  </c:pt>
                  <c:pt idx="154">
                    <c:v>19:31</c:v>
                  </c:pt>
                  <c:pt idx="155">
                    <c:v>19:33</c:v>
                  </c:pt>
                  <c:pt idx="156">
                    <c:v>19:36</c:v>
                  </c:pt>
                  <c:pt idx="157">
                    <c:v>19:40</c:v>
                  </c:pt>
                  <c:pt idx="158">
                    <c:v>19:42</c:v>
                  </c:pt>
                  <c:pt idx="159">
                    <c:v>19:55</c:v>
                  </c:pt>
                  <c:pt idx="160">
                    <c:v>19:57</c:v>
                  </c:pt>
                  <c:pt idx="161">
                    <c:v>19:59</c:v>
                  </c:pt>
                  <c:pt idx="162">
                    <c:v>20:00</c:v>
                  </c:pt>
                  <c:pt idx="163">
                    <c:v>20:05</c:v>
                  </c:pt>
                  <c:pt idx="164">
                    <c:v>20:08</c:v>
                  </c:pt>
                  <c:pt idx="165">
                    <c:v>20:09</c:v>
                  </c:pt>
                  <c:pt idx="166">
                    <c:v>20:11</c:v>
                  </c:pt>
                  <c:pt idx="167">
                    <c:v>20:12</c:v>
                  </c:pt>
                  <c:pt idx="168">
                    <c:v>20:20</c:v>
                  </c:pt>
                  <c:pt idx="169">
                    <c:v>20:22</c:v>
                  </c:pt>
                  <c:pt idx="170">
                    <c:v>20:25</c:v>
                  </c:pt>
                  <c:pt idx="171">
                    <c:v>20:30</c:v>
                  </c:pt>
                  <c:pt idx="172">
                    <c:v>20:36</c:v>
                  </c:pt>
                  <c:pt idx="173">
                    <c:v>20:40</c:v>
                  </c:pt>
                  <c:pt idx="174">
                    <c:v>20:41</c:v>
                  </c:pt>
                  <c:pt idx="175">
                    <c:v>20:50</c:v>
                  </c:pt>
                  <c:pt idx="176">
                    <c:v>20:53</c:v>
                  </c:pt>
                  <c:pt idx="177">
                    <c:v>21:06</c:v>
                  </c:pt>
                  <c:pt idx="178">
                    <c:v>21:17</c:v>
                  </c:pt>
                  <c:pt idx="179">
                    <c:v>21:23</c:v>
                  </c:pt>
                  <c:pt idx="180">
                    <c:v>21:26</c:v>
                  </c:pt>
                  <c:pt idx="181">
                    <c:v>21:38</c:v>
                  </c:pt>
                  <c:pt idx="182">
                    <c:v>21:40</c:v>
                  </c:pt>
                  <c:pt idx="183">
                    <c:v>21:49</c:v>
                  </c:pt>
                  <c:pt idx="184">
                    <c:v>21:53</c:v>
                  </c:pt>
                  <c:pt idx="185">
                    <c:v>21:56</c:v>
                  </c:pt>
                  <c:pt idx="186">
                    <c:v>21:58</c:v>
                  </c:pt>
                  <c:pt idx="187">
                    <c:v>22:04</c:v>
                  </c:pt>
                  <c:pt idx="188">
                    <c:v>22:08</c:v>
                  </c:pt>
                  <c:pt idx="189">
                    <c:v>22:24</c:v>
                  </c:pt>
                  <c:pt idx="190">
                    <c:v>22:39</c:v>
                  </c:pt>
                  <c:pt idx="191">
                    <c:v>22:53</c:v>
                  </c:pt>
                  <c:pt idx="192">
                    <c:v>22:55</c:v>
                  </c:pt>
                  <c:pt idx="193">
                    <c:v>22:56</c:v>
                  </c:pt>
                  <c:pt idx="194">
                    <c:v>23:19</c:v>
                  </c:pt>
                  <c:pt idx="195">
                    <c:v>23:20</c:v>
                  </c:pt>
                  <c:pt idx="196">
                    <c:v>23:33</c:v>
                  </c:pt>
                  <c:pt idx="197">
                    <c:v>23:34</c:v>
                  </c:pt>
                  <c:pt idx="198">
                    <c:v>23:43</c:v>
                  </c:pt>
                  <c:pt idx="199">
                    <c:v>23:45</c:v>
                  </c:pt>
                  <c:pt idx="200">
                    <c:v>23:49</c:v>
                  </c:pt>
                  <c:pt idx="201">
                    <c:v>23:51</c:v>
                  </c:pt>
                  <c:pt idx="202">
                    <c:v>23:52</c:v>
                  </c:pt>
                  <c:pt idx="203">
                    <c:v>23:55</c:v>
                  </c:pt>
                  <c:pt idx="204">
                    <c:v>00:06</c:v>
                  </c:pt>
                  <c:pt idx="205">
                    <c:v>00:10</c:v>
                  </c:pt>
                  <c:pt idx="206">
                    <c:v>00:15</c:v>
                  </c:pt>
                  <c:pt idx="207">
                    <c:v>00:16</c:v>
                  </c:pt>
                  <c:pt idx="208">
                    <c:v>00:19</c:v>
                  </c:pt>
                  <c:pt idx="209">
                    <c:v>00:26</c:v>
                  </c:pt>
                  <c:pt idx="210">
                    <c:v>00:30</c:v>
                  </c:pt>
                  <c:pt idx="211">
                    <c:v>00:31</c:v>
                  </c:pt>
                  <c:pt idx="212">
                    <c:v>00:36</c:v>
                  </c:pt>
                  <c:pt idx="213">
                    <c:v>00:37</c:v>
                  </c:pt>
                  <c:pt idx="214">
                    <c:v>00:47</c:v>
                  </c:pt>
                  <c:pt idx="215">
                    <c:v>01:02</c:v>
                  </c:pt>
                  <c:pt idx="216">
                    <c:v>01:05</c:v>
                  </c:pt>
                  <c:pt idx="217">
                    <c:v>01:15</c:v>
                  </c:pt>
                  <c:pt idx="218">
                    <c:v>01:16</c:v>
                  </c:pt>
                  <c:pt idx="219">
                    <c:v>01:18</c:v>
                  </c:pt>
                  <c:pt idx="220">
                    <c:v>01:26</c:v>
                  </c:pt>
                  <c:pt idx="221">
                    <c:v>01:42</c:v>
                  </c:pt>
                  <c:pt idx="222">
                    <c:v>01:48</c:v>
                  </c:pt>
                  <c:pt idx="223">
                    <c:v>01:49</c:v>
                  </c:pt>
                  <c:pt idx="224">
                    <c:v>01:56</c:v>
                  </c:pt>
                  <c:pt idx="225">
                    <c:v>02:00</c:v>
                  </c:pt>
                  <c:pt idx="226">
                    <c:v>02:04</c:v>
                  </c:pt>
                  <c:pt idx="227">
                    <c:v>02:06</c:v>
                  </c:pt>
                  <c:pt idx="228">
                    <c:v>02:08</c:v>
                  </c:pt>
                  <c:pt idx="229">
                    <c:v>02:17</c:v>
                  </c:pt>
                  <c:pt idx="230">
                    <c:v>02:33</c:v>
                  </c:pt>
                  <c:pt idx="231">
                    <c:v>02:37</c:v>
                  </c:pt>
                  <c:pt idx="232">
                    <c:v>02:43</c:v>
                  </c:pt>
                  <c:pt idx="233">
                    <c:v>02:52</c:v>
                  </c:pt>
                  <c:pt idx="234">
                    <c:v>02:55</c:v>
                  </c:pt>
                  <c:pt idx="235">
                    <c:v>03:16</c:v>
                  </c:pt>
                  <c:pt idx="236">
                    <c:v>03:18</c:v>
                  </c:pt>
                  <c:pt idx="237">
                    <c:v>03:22</c:v>
                  </c:pt>
                  <c:pt idx="238">
                    <c:v>03:32</c:v>
                  </c:pt>
                  <c:pt idx="239">
                    <c:v>03:33</c:v>
                  </c:pt>
                  <c:pt idx="240">
                    <c:v>03:44</c:v>
                  </c:pt>
                  <c:pt idx="241">
                    <c:v>03:53</c:v>
                  </c:pt>
                  <c:pt idx="242">
                    <c:v>03:56</c:v>
                  </c:pt>
                  <c:pt idx="243">
                    <c:v>03:57</c:v>
                  </c:pt>
                  <c:pt idx="244">
                    <c:v>04:02</c:v>
                  </c:pt>
                  <c:pt idx="245">
                    <c:v>04:05</c:v>
                  </c:pt>
                  <c:pt idx="246">
                    <c:v>04:11</c:v>
                  </c:pt>
                  <c:pt idx="247">
                    <c:v>04:20</c:v>
                  </c:pt>
                  <c:pt idx="248">
                    <c:v>04:22</c:v>
                  </c:pt>
                  <c:pt idx="249">
                    <c:v>04:26</c:v>
                  </c:pt>
                  <c:pt idx="250">
                    <c:v>04:27</c:v>
                  </c:pt>
                  <c:pt idx="251">
                    <c:v>04:30</c:v>
                  </c:pt>
                  <c:pt idx="252">
                    <c:v>04:37</c:v>
                  </c:pt>
                  <c:pt idx="253">
                    <c:v>04:47</c:v>
                  </c:pt>
                  <c:pt idx="254">
                    <c:v>04:52</c:v>
                  </c:pt>
                  <c:pt idx="255">
                    <c:v>05:00</c:v>
                  </c:pt>
                  <c:pt idx="256">
                    <c:v>05:01</c:v>
                  </c:pt>
                  <c:pt idx="257">
                    <c:v>05:02</c:v>
                  </c:pt>
                  <c:pt idx="258">
                    <c:v>05:08</c:v>
                  </c:pt>
                  <c:pt idx="259">
                    <c:v>05:14</c:v>
                  </c:pt>
                  <c:pt idx="260">
                    <c:v>05:22</c:v>
                  </c:pt>
                  <c:pt idx="261">
                    <c:v>05:24</c:v>
                  </c:pt>
                  <c:pt idx="262">
                    <c:v>05:39</c:v>
                  </c:pt>
                  <c:pt idx="263">
                    <c:v>05:45</c:v>
                  </c:pt>
                  <c:pt idx="264">
                    <c:v>05:47</c:v>
                  </c:pt>
                  <c:pt idx="265">
                    <c:v>05:55</c:v>
                  </c:pt>
                  <c:pt idx="266">
                    <c:v>06:09</c:v>
                  </c:pt>
                  <c:pt idx="267">
                    <c:v>06:15</c:v>
                  </c:pt>
                  <c:pt idx="268">
                    <c:v>06:16</c:v>
                  </c:pt>
                  <c:pt idx="269">
                    <c:v>06:21</c:v>
                  </c:pt>
                  <c:pt idx="270">
                    <c:v>06:24</c:v>
                  </c:pt>
                  <c:pt idx="271">
                    <c:v>06:26</c:v>
                  </c:pt>
                  <c:pt idx="272">
                    <c:v>06:27</c:v>
                  </c:pt>
                  <c:pt idx="273">
                    <c:v>06:34</c:v>
                  </c:pt>
                  <c:pt idx="274">
                    <c:v>06:36</c:v>
                  </c:pt>
                  <c:pt idx="275">
                    <c:v>06:37</c:v>
                  </c:pt>
                  <c:pt idx="276">
                    <c:v>06:57</c:v>
                  </c:pt>
                  <c:pt idx="277">
                    <c:v>07:00</c:v>
                  </c:pt>
                  <c:pt idx="278">
                    <c:v>07:06</c:v>
                  </c:pt>
                  <c:pt idx="279">
                    <c:v>07:12</c:v>
                  </c:pt>
                  <c:pt idx="280">
                    <c:v>07:16</c:v>
                  </c:pt>
                  <c:pt idx="281">
                    <c:v>07:17</c:v>
                  </c:pt>
                  <c:pt idx="282">
                    <c:v>07:20</c:v>
                  </c:pt>
                  <c:pt idx="283">
                    <c:v>07:21</c:v>
                  </c:pt>
                  <c:pt idx="284">
                    <c:v>07:29</c:v>
                  </c:pt>
                  <c:pt idx="285">
                    <c:v>07:42</c:v>
                  </c:pt>
                  <c:pt idx="286">
                    <c:v>07:44</c:v>
                  </c:pt>
                  <c:pt idx="287">
                    <c:v>07:52</c:v>
                  </c:pt>
                  <c:pt idx="288">
                    <c:v>07:55</c:v>
                  </c:pt>
                  <c:pt idx="289">
                    <c:v>07:57</c:v>
                  </c:pt>
                </c:lvl>
                <c:lvl>
                  <c:pt idx="0">
                    <c:v>2024-07-26</c:v>
                  </c:pt>
                  <c:pt idx="204">
                    <c:v>2024-07-27</c:v>
                  </c:pt>
                </c:lvl>
              </c:multiLvlStrCache>
            </c:multiLvlStrRef>
          </c:cat>
          <c:val>
            <c:numRef>
              <c:f>0</c:f>
              <c:numCache>
                <c:formatCode>General</c:formatCode>
                <c:ptCount val="290"/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6">
                  <c:v>1</c:v>
                </c:pt>
                <c:pt idx="9">
                  <c:v>1</c:v>
                </c:pt>
                <c:pt idx="12">
                  <c:v>1</c:v>
                </c:pt>
                <c:pt idx="14">
                  <c:v>1</c:v>
                </c:pt>
                <c:pt idx="16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3">
                  <c:v>1</c:v>
                </c:pt>
                <c:pt idx="25">
                  <c:v>1</c:v>
                </c:pt>
                <c:pt idx="27">
                  <c:v>2</c:v>
                </c:pt>
                <c:pt idx="31">
                  <c:v>1</c:v>
                </c:pt>
                <c:pt idx="33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7">
                  <c:v>1</c:v>
                </c:pt>
                <c:pt idx="48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62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70">
                  <c:v>1</c:v>
                </c:pt>
                <c:pt idx="73">
                  <c:v>1</c:v>
                </c:pt>
                <c:pt idx="78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6">
                  <c:v>1</c:v>
                </c:pt>
                <c:pt idx="89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8">
                  <c:v>1</c:v>
                </c:pt>
                <c:pt idx="99">
                  <c:v>1</c:v>
                </c:pt>
                <c:pt idx="102">
                  <c:v>1</c:v>
                </c:pt>
                <c:pt idx="111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7">
                  <c:v>3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2">
                  <c:v>1</c:v>
                </c:pt>
                <c:pt idx="143">
                  <c:v>1</c:v>
                </c:pt>
                <c:pt idx="145">
                  <c:v>1</c:v>
                </c:pt>
                <c:pt idx="147">
                  <c:v>1</c:v>
                </c:pt>
                <c:pt idx="155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9">
                  <c:v>1</c:v>
                </c:pt>
                <c:pt idx="173">
                  <c:v>1</c:v>
                </c:pt>
                <c:pt idx="175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6">
                  <c:v>1</c:v>
                </c:pt>
                <c:pt idx="188">
                  <c:v>1</c:v>
                </c:pt>
                <c:pt idx="189">
                  <c:v>1</c:v>
                </c:pt>
                <c:pt idx="192">
                  <c:v>1</c:v>
                </c:pt>
                <c:pt idx="194">
                  <c:v>1</c:v>
                </c:pt>
                <c:pt idx="196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2">
                  <c:v>1</c:v>
                </c:pt>
                <c:pt idx="214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6">
                  <c:v>1</c:v>
                </c:pt>
                <c:pt idx="229">
                  <c:v>1</c:v>
                </c:pt>
                <c:pt idx="233">
                  <c:v>2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40">
                  <c:v>1</c:v>
                </c:pt>
                <c:pt idx="242">
                  <c:v>1</c:v>
                </c:pt>
                <c:pt idx="245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3">
                  <c:v>2</c:v>
                </c:pt>
                <c:pt idx="260">
                  <c:v>1</c:v>
                </c:pt>
                <c:pt idx="262">
                  <c:v>1</c:v>
                </c:pt>
                <c:pt idx="263">
                  <c:v>2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8">
                  <c:v>1</c:v>
                </c:pt>
                <c:pt idx="269">
                  <c:v>1</c:v>
                </c:pt>
                <c:pt idx="276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3">
                  <c:v>1</c:v>
                </c:pt>
                <c:pt idx="285">
                  <c:v>1</c:v>
                </c:pt>
                <c:pt idx="287">
                  <c:v>1</c:v>
                </c:pt>
                <c:pt idx="289">
                  <c:v>1</c:v>
                </c:pt>
              </c:numCache>
            </c:numRef>
          </c:val>
        </c:ser>
        <c:ser>
          <c:idx val="1"/>
          <c:order val="1"/>
          <c:tx>
            <c:strRef>
              <c:f>label 1</c:f>
              <c:strCache>
                <c:ptCount val="1"/>
                <c:pt idx="0">
                  <c:v>Blocked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categories</c:f>
              <c:multiLvlStrCache>
                <c:ptCount val="290"/>
                <c:lvl>
                  <c:pt idx="0">
                    <c:v>08:00</c:v>
                  </c:pt>
                  <c:pt idx="1">
                    <c:v>08:03</c:v>
                  </c:pt>
                  <c:pt idx="2">
                    <c:v>08:07</c:v>
                  </c:pt>
                  <c:pt idx="3">
                    <c:v>08:10</c:v>
                  </c:pt>
                  <c:pt idx="4">
                    <c:v>08:16</c:v>
                  </c:pt>
                  <c:pt idx="5">
                    <c:v>08:22</c:v>
                  </c:pt>
                  <c:pt idx="6">
                    <c:v>08:35</c:v>
                  </c:pt>
                  <c:pt idx="7">
                    <c:v>08:43</c:v>
                  </c:pt>
                  <c:pt idx="8">
                    <c:v>08:54</c:v>
                  </c:pt>
                  <c:pt idx="9">
                    <c:v>08:55</c:v>
                  </c:pt>
                  <c:pt idx="10">
                    <c:v>08:57</c:v>
                  </c:pt>
                  <c:pt idx="11">
                    <c:v>08:58</c:v>
                  </c:pt>
                  <c:pt idx="12">
                    <c:v>09:04</c:v>
                  </c:pt>
                  <c:pt idx="13">
                    <c:v>09:06</c:v>
                  </c:pt>
                  <c:pt idx="14">
                    <c:v>09:16</c:v>
                  </c:pt>
                  <c:pt idx="15">
                    <c:v>09:22</c:v>
                  </c:pt>
                  <c:pt idx="16">
                    <c:v>09:24</c:v>
                  </c:pt>
                  <c:pt idx="17">
                    <c:v>09:28</c:v>
                  </c:pt>
                  <c:pt idx="18">
                    <c:v>09:31</c:v>
                  </c:pt>
                  <c:pt idx="19">
                    <c:v>09:35</c:v>
                  </c:pt>
                  <c:pt idx="20">
                    <c:v>09:41</c:v>
                  </c:pt>
                  <c:pt idx="21">
                    <c:v>09:56</c:v>
                  </c:pt>
                  <c:pt idx="22">
                    <c:v>10:01</c:v>
                  </c:pt>
                  <c:pt idx="23">
                    <c:v>10:06</c:v>
                  </c:pt>
                  <c:pt idx="24">
                    <c:v>10:19</c:v>
                  </c:pt>
                  <c:pt idx="25">
                    <c:v>10:22</c:v>
                  </c:pt>
                  <c:pt idx="26">
                    <c:v>10:24</c:v>
                  </c:pt>
                  <c:pt idx="27">
                    <c:v>10:25</c:v>
                  </c:pt>
                  <c:pt idx="28">
                    <c:v>10:26</c:v>
                  </c:pt>
                  <c:pt idx="29">
                    <c:v>10:38</c:v>
                  </c:pt>
                  <c:pt idx="30">
                    <c:v>10:39</c:v>
                  </c:pt>
                  <c:pt idx="31">
                    <c:v>10:40</c:v>
                  </c:pt>
                  <c:pt idx="32">
                    <c:v>10:43</c:v>
                  </c:pt>
                  <c:pt idx="33">
                    <c:v>10:45</c:v>
                  </c:pt>
                  <c:pt idx="34">
                    <c:v>10:47</c:v>
                  </c:pt>
                  <c:pt idx="35">
                    <c:v>10:54</c:v>
                  </c:pt>
                  <c:pt idx="36">
                    <c:v>10:57</c:v>
                  </c:pt>
                  <c:pt idx="37">
                    <c:v>11:00</c:v>
                  </c:pt>
                  <c:pt idx="38">
                    <c:v>11:05</c:v>
                  </c:pt>
                  <c:pt idx="39">
                    <c:v>11:16</c:v>
                  </c:pt>
                  <c:pt idx="40">
                    <c:v>11:23</c:v>
                  </c:pt>
                  <c:pt idx="41">
                    <c:v>11:25</c:v>
                  </c:pt>
                  <c:pt idx="42">
                    <c:v>11:26</c:v>
                  </c:pt>
                  <c:pt idx="43">
                    <c:v>11:30</c:v>
                  </c:pt>
                  <c:pt idx="44">
                    <c:v>11:33</c:v>
                  </c:pt>
                  <c:pt idx="45">
                    <c:v>11:34</c:v>
                  </c:pt>
                  <c:pt idx="46">
                    <c:v>11:37</c:v>
                  </c:pt>
                  <c:pt idx="47">
                    <c:v>11:46</c:v>
                  </c:pt>
                  <c:pt idx="48">
                    <c:v>11:53</c:v>
                  </c:pt>
                  <c:pt idx="49">
                    <c:v>11:55</c:v>
                  </c:pt>
                  <c:pt idx="50">
                    <c:v>11:58</c:v>
                  </c:pt>
                  <c:pt idx="51">
                    <c:v>12:00</c:v>
                  </c:pt>
                  <c:pt idx="52">
                    <c:v>12:03</c:v>
                  </c:pt>
                  <c:pt idx="53">
                    <c:v>12:05</c:v>
                  </c:pt>
                  <c:pt idx="54">
                    <c:v>12:07</c:v>
                  </c:pt>
                  <c:pt idx="55">
                    <c:v>12:08</c:v>
                  </c:pt>
                  <c:pt idx="56">
                    <c:v>12:10</c:v>
                  </c:pt>
                  <c:pt idx="57">
                    <c:v>12:12</c:v>
                  </c:pt>
                  <c:pt idx="58">
                    <c:v>12:14</c:v>
                  </c:pt>
                  <c:pt idx="59">
                    <c:v>12:25</c:v>
                  </c:pt>
                  <c:pt idx="60">
                    <c:v>12:28</c:v>
                  </c:pt>
                  <c:pt idx="61">
                    <c:v>12:32</c:v>
                  </c:pt>
                  <c:pt idx="62">
                    <c:v>12:33</c:v>
                  </c:pt>
                  <c:pt idx="63">
                    <c:v>12:42</c:v>
                  </c:pt>
                  <c:pt idx="64">
                    <c:v>12:48</c:v>
                  </c:pt>
                  <c:pt idx="65">
                    <c:v>12:54</c:v>
                  </c:pt>
                  <c:pt idx="66">
                    <c:v>13:05</c:v>
                  </c:pt>
                  <c:pt idx="67">
                    <c:v>13:17</c:v>
                  </c:pt>
                  <c:pt idx="68">
                    <c:v>13:18</c:v>
                  </c:pt>
                  <c:pt idx="69">
                    <c:v>13:22</c:v>
                  </c:pt>
                  <c:pt idx="70">
                    <c:v>13:25</c:v>
                  </c:pt>
                  <c:pt idx="71">
                    <c:v>13:28</c:v>
                  </c:pt>
                  <c:pt idx="72">
                    <c:v>13:29</c:v>
                  </c:pt>
                  <c:pt idx="73">
                    <c:v>13:33</c:v>
                  </c:pt>
                  <c:pt idx="74">
                    <c:v>13:38</c:v>
                  </c:pt>
                  <c:pt idx="75">
                    <c:v>13:41</c:v>
                  </c:pt>
                  <c:pt idx="76">
                    <c:v>13:43</c:v>
                  </c:pt>
                  <c:pt idx="77">
                    <c:v>13:51</c:v>
                  </c:pt>
                  <c:pt idx="78">
                    <c:v>13:57</c:v>
                  </c:pt>
                  <c:pt idx="79">
                    <c:v>14:00</c:v>
                  </c:pt>
                  <c:pt idx="80">
                    <c:v>14:04</c:v>
                  </c:pt>
                  <c:pt idx="81">
                    <c:v>14:11</c:v>
                  </c:pt>
                  <c:pt idx="82">
                    <c:v>14:15</c:v>
                  </c:pt>
                  <c:pt idx="83">
                    <c:v>14:20</c:v>
                  </c:pt>
                  <c:pt idx="84">
                    <c:v>14:30</c:v>
                  </c:pt>
                  <c:pt idx="85">
                    <c:v>14:34</c:v>
                  </c:pt>
                  <c:pt idx="86">
                    <c:v>14:36</c:v>
                  </c:pt>
                  <c:pt idx="87">
                    <c:v>14:39</c:v>
                  </c:pt>
                  <c:pt idx="88">
                    <c:v>14:49</c:v>
                  </c:pt>
                  <c:pt idx="89">
                    <c:v>14:50</c:v>
                  </c:pt>
                  <c:pt idx="90">
                    <c:v>14:57</c:v>
                  </c:pt>
                  <c:pt idx="91">
                    <c:v>14:58</c:v>
                  </c:pt>
                  <c:pt idx="92">
                    <c:v>15:00</c:v>
                  </c:pt>
                  <c:pt idx="93">
                    <c:v>15:01</c:v>
                  </c:pt>
                  <c:pt idx="94">
                    <c:v>15:03</c:v>
                  </c:pt>
                  <c:pt idx="95">
                    <c:v>15:04</c:v>
                  </c:pt>
                  <c:pt idx="96">
                    <c:v>15:08</c:v>
                  </c:pt>
                  <c:pt idx="97">
                    <c:v>15:10</c:v>
                  </c:pt>
                  <c:pt idx="98">
                    <c:v>15:12</c:v>
                  </c:pt>
                  <c:pt idx="99">
                    <c:v>15:17</c:v>
                  </c:pt>
                  <c:pt idx="100">
                    <c:v>15:20</c:v>
                  </c:pt>
                  <c:pt idx="101">
                    <c:v>15:21</c:v>
                  </c:pt>
                  <c:pt idx="102">
                    <c:v>15:26</c:v>
                  </c:pt>
                  <c:pt idx="103">
                    <c:v>15:33</c:v>
                  </c:pt>
                  <c:pt idx="104">
                    <c:v>15:38</c:v>
                  </c:pt>
                  <c:pt idx="105">
                    <c:v>15:43</c:v>
                  </c:pt>
                  <c:pt idx="106">
                    <c:v>15:46</c:v>
                  </c:pt>
                  <c:pt idx="107">
                    <c:v>15:47</c:v>
                  </c:pt>
                  <c:pt idx="108">
                    <c:v>15:55</c:v>
                  </c:pt>
                  <c:pt idx="109">
                    <c:v>15:57</c:v>
                  </c:pt>
                  <c:pt idx="110">
                    <c:v>16:03</c:v>
                  </c:pt>
                  <c:pt idx="111">
                    <c:v>16:04</c:v>
                  </c:pt>
                  <c:pt idx="112">
                    <c:v>16:07</c:v>
                  </c:pt>
                  <c:pt idx="113">
                    <c:v>16:12</c:v>
                  </c:pt>
                  <c:pt idx="114">
                    <c:v>16:13</c:v>
                  </c:pt>
                  <c:pt idx="115">
                    <c:v>16:20</c:v>
                  </c:pt>
                  <c:pt idx="116">
                    <c:v>16:24</c:v>
                  </c:pt>
                  <c:pt idx="117">
                    <c:v>16:28</c:v>
                  </c:pt>
                  <c:pt idx="118">
                    <c:v>16:30</c:v>
                  </c:pt>
                  <c:pt idx="119">
                    <c:v>16:31</c:v>
                  </c:pt>
                  <c:pt idx="120">
                    <c:v>16:36</c:v>
                  </c:pt>
                  <c:pt idx="121">
                    <c:v>16:46</c:v>
                  </c:pt>
                  <c:pt idx="122">
                    <c:v>16:54</c:v>
                  </c:pt>
                  <c:pt idx="123">
                    <c:v>16:59</c:v>
                  </c:pt>
                  <c:pt idx="124">
                    <c:v>17:01</c:v>
                  </c:pt>
                  <c:pt idx="125">
                    <c:v>17:03</c:v>
                  </c:pt>
                  <c:pt idx="126">
                    <c:v>17:12</c:v>
                  </c:pt>
                  <c:pt idx="127">
                    <c:v>17:13</c:v>
                  </c:pt>
                  <c:pt idx="128">
                    <c:v>17:17</c:v>
                  </c:pt>
                  <c:pt idx="129">
                    <c:v>17:47</c:v>
                  </c:pt>
                  <c:pt idx="130">
                    <c:v>17:48</c:v>
                  </c:pt>
                  <c:pt idx="131">
                    <c:v>17:50</c:v>
                  </c:pt>
                  <c:pt idx="132">
                    <c:v>17:55</c:v>
                  </c:pt>
                  <c:pt idx="133">
                    <c:v>18:04</c:v>
                  </c:pt>
                  <c:pt idx="134">
                    <c:v>18:12</c:v>
                  </c:pt>
                  <c:pt idx="135">
                    <c:v>18:14</c:v>
                  </c:pt>
                  <c:pt idx="136">
                    <c:v>18:16</c:v>
                  </c:pt>
                  <c:pt idx="137">
                    <c:v>18:17</c:v>
                  </c:pt>
                  <c:pt idx="138">
                    <c:v>18:33</c:v>
                  </c:pt>
                  <c:pt idx="139">
                    <c:v>18:41</c:v>
                  </c:pt>
                  <c:pt idx="140">
                    <c:v>18:45</c:v>
                  </c:pt>
                  <c:pt idx="141">
                    <c:v>18:51</c:v>
                  </c:pt>
                  <c:pt idx="142">
                    <c:v>18:52</c:v>
                  </c:pt>
                  <c:pt idx="143">
                    <c:v>18:54</c:v>
                  </c:pt>
                  <c:pt idx="144">
                    <c:v>18:56</c:v>
                  </c:pt>
                  <c:pt idx="145">
                    <c:v>18:58</c:v>
                  </c:pt>
                  <c:pt idx="146">
                    <c:v>19:04</c:v>
                  </c:pt>
                  <c:pt idx="147">
                    <c:v>19:07</c:v>
                  </c:pt>
                  <c:pt idx="148">
                    <c:v>19:13</c:v>
                  </c:pt>
                  <c:pt idx="149">
                    <c:v>19:14</c:v>
                  </c:pt>
                  <c:pt idx="150">
                    <c:v>19:22</c:v>
                  </c:pt>
                  <c:pt idx="151">
                    <c:v>19:23</c:v>
                  </c:pt>
                  <c:pt idx="152">
                    <c:v>19:24</c:v>
                  </c:pt>
                  <c:pt idx="153">
                    <c:v>19:29</c:v>
                  </c:pt>
                  <c:pt idx="154">
                    <c:v>19:31</c:v>
                  </c:pt>
                  <c:pt idx="155">
                    <c:v>19:33</c:v>
                  </c:pt>
                  <c:pt idx="156">
                    <c:v>19:36</c:v>
                  </c:pt>
                  <c:pt idx="157">
                    <c:v>19:40</c:v>
                  </c:pt>
                  <c:pt idx="158">
                    <c:v>19:42</c:v>
                  </c:pt>
                  <c:pt idx="159">
                    <c:v>19:55</c:v>
                  </c:pt>
                  <c:pt idx="160">
                    <c:v>19:57</c:v>
                  </c:pt>
                  <c:pt idx="161">
                    <c:v>19:59</c:v>
                  </c:pt>
                  <c:pt idx="162">
                    <c:v>20:00</c:v>
                  </c:pt>
                  <c:pt idx="163">
                    <c:v>20:05</c:v>
                  </c:pt>
                  <c:pt idx="164">
                    <c:v>20:08</c:v>
                  </c:pt>
                  <c:pt idx="165">
                    <c:v>20:09</c:v>
                  </c:pt>
                  <c:pt idx="166">
                    <c:v>20:11</c:v>
                  </c:pt>
                  <c:pt idx="167">
                    <c:v>20:12</c:v>
                  </c:pt>
                  <c:pt idx="168">
                    <c:v>20:20</c:v>
                  </c:pt>
                  <c:pt idx="169">
                    <c:v>20:22</c:v>
                  </c:pt>
                  <c:pt idx="170">
                    <c:v>20:25</c:v>
                  </c:pt>
                  <c:pt idx="171">
                    <c:v>20:30</c:v>
                  </c:pt>
                  <c:pt idx="172">
                    <c:v>20:36</c:v>
                  </c:pt>
                  <c:pt idx="173">
                    <c:v>20:40</c:v>
                  </c:pt>
                  <c:pt idx="174">
                    <c:v>20:41</c:v>
                  </c:pt>
                  <c:pt idx="175">
                    <c:v>20:50</c:v>
                  </c:pt>
                  <c:pt idx="176">
                    <c:v>20:53</c:v>
                  </c:pt>
                  <c:pt idx="177">
                    <c:v>21:06</c:v>
                  </c:pt>
                  <c:pt idx="178">
                    <c:v>21:17</c:v>
                  </c:pt>
                  <c:pt idx="179">
                    <c:v>21:23</c:v>
                  </c:pt>
                  <c:pt idx="180">
                    <c:v>21:26</c:v>
                  </c:pt>
                  <c:pt idx="181">
                    <c:v>21:38</c:v>
                  </c:pt>
                  <c:pt idx="182">
                    <c:v>21:40</c:v>
                  </c:pt>
                  <c:pt idx="183">
                    <c:v>21:49</c:v>
                  </c:pt>
                  <c:pt idx="184">
                    <c:v>21:53</c:v>
                  </c:pt>
                  <c:pt idx="185">
                    <c:v>21:56</c:v>
                  </c:pt>
                  <c:pt idx="186">
                    <c:v>21:58</c:v>
                  </c:pt>
                  <c:pt idx="187">
                    <c:v>22:04</c:v>
                  </c:pt>
                  <c:pt idx="188">
                    <c:v>22:08</c:v>
                  </c:pt>
                  <c:pt idx="189">
                    <c:v>22:24</c:v>
                  </c:pt>
                  <c:pt idx="190">
                    <c:v>22:39</c:v>
                  </c:pt>
                  <c:pt idx="191">
                    <c:v>22:53</c:v>
                  </c:pt>
                  <c:pt idx="192">
                    <c:v>22:55</c:v>
                  </c:pt>
                  <c:pt idx="193">
                    <c:v>22:56</c:v>
                  </c:pt>
                  <c:pt idx="194">
                    <c:v>23:19</c:v>
                  </c:pt>
                  <c:pt idx="195">
                    <c:v>23:20</c:v>
                  </c:pt>
                  <c:pt idx="196">
                    <c:v>23:33</c:v>
                  </c:pt>
                  <c:pt idx="197">
                    <c:v>23:34</c:v>
                  </c:pt>
                  <c:pt idx="198">
                    <c:v>23:43</c:v>
                  </c:pt>
                  <c:pt idx="199">
                    <c:v>23:45</c:v>
                  </c:pt>
                  <c:pt idx="200">
                    <c:v>23:49</c:v>
                  </c:pt>
                  <c:pt idx="201">
                    <c:v>23:51</c:v>
                  </c:pt>
                  <c:pt idx="202">
                    <c:v>23:52</c:v>
                  </c:pt>
                  <c:pt idx="203">
                    <c:v>23:55</c:v>
                  </c:pt>
                  <c:pt idx="204">
                    <c:v>00:06</c:v>
                  </c:pt>
                  <c:pt idx="205">
                    <c:v>00:10</c:v>
                  </c:pt>
                  <c:pt idx="206">
                    <c:v>00:15</c:v>
                  </c:pt>
                  <c:pt idx="207">
                    <c:v>00:16</c:v>
                  </c:pt>
                  <c:pt idx="208">
                    <c:v>00:19</c:v>
                  </c:pt>
                  <c:pt idx="209">
                    <c:v>00:26</c:v>
                  </c:pt>
                  <c:pt idx="210">
                    <c:v>00:30</c:v>
                  </c:pt>
                  <c:pt idx="211">
                    <c:v>00:31</c:v>
                  </c:pt>
                  <c:pt idx="212">
                    <c:v>00:36</c:v>
                  </c:pt>
                  <c:pt idx="213">
                    <c:v>00:37</c:v>
                  </c:pt>
                  <c:pt idx="214">
                    <c:v>00:47</c:v>
                  </c:pt>
                  <c:pt idx="215">
                    <c:v>01:02</c:v>
                  </c:pt>
                  <c:pt idx="216">
                    <c:v>01:05</c:v>
                  </c:pt>
                  <c:pt idx="217">
                    <c:v>01:15</c:v>
                  </c:pt>
                  <c:pt idx="218">
                    <c:v>01:16</c:v>
                  </c:pt>
                  <c:pt idx="219">
                    <c:v>01:18</c:v>
                  </c:pt>
                  <c:pt idx="220">
                    <c:v>01:26</c:v>
                  </c:pt>
                  <c:pt idx="221">
                    <c:v>01:42</c:v>
                  </c:pt>
                  <c:pt idx="222">
                    <c:v>01:48</c:v>
                  </c:pt>
                  <c:pt idx="223">
                    <c:v>01:49</c:v>
                  </c:pt>
                  <c:pt idx="224">
                    <c:v>01:56</c:v>
                  </c:pt>
                  <c:pt idx="225">
                    <c:v>02:00</c:v>
                  </c:pt>
                  <c:pt idx="226">
                    <c:v>02:04</c:v>
                  </c:pt>
                  <c:pt idx="227">
                    <c:v>02:06</c:v>
                  </c:pt>
                  <c:pt idx="228">
                    <c:v>02:08</c:v>
                  </c:pt>
                  <c:pt idx="229">
                    <c:v>02:17</c:v>
                  </c:pt>
                  <c:pt idx="230">
                    <c:v>02:33</c:v>
                  </c:pt>
                  <c:pt idx="231">
                    <c:v>02:37</c:v>
                  </c:pt>
                  <c:pt idx="232">
                    <c:v>02:43</c:v>
                  </c:pt>
                  <c:pt idx="233">
                    <c:v>02:52</c:v>
                  </c:pt>
                  <c:pt idx="234">
                    <c:v>02:55</c:v>
                  </c:pt>
                  <c:pt idx="235">
                    <c:v>03:16</c:v>
                  </c:pt>
                  <c:pt idx="236">
                    <c:v>03:18</c:v>
                  </c:pt>
                  <c:pt idx="237">
                    <c:v>03:22</c:v>
                  </c:pt>
                  <c:pt idx="238">
                    <c:v>03:32</c:v>
                  </c:pt>
                  <c:pt idx="239">
                    <c:v>03:33</c:v>
                  </c:pt>
                  <c:pt idx="240">
                    <c:v>03:44</c:v>
                  </c:pt>
                  <c:pt idx="241">
                    <c:v>03:53</c:v>
                  </c:pt>
                  <c:pt idx="242">
                    <c:v>03:56</c:v>
                  </c:pt>
                  <c:pt idx="243">
                    <c:v>03:57</c:v>
                  </c:pt>
                  <c:pt idx="244">
                    <c:v>04:02</c:v>
                  </c:pt>
                  <c:pt idx="245">
                    <c:v>04:05</c:v>
                  </c:pt>
                  <c:pt idx="246">
                    <c:v>04:11</c:v>
                  </c:pt>
                  <c:pt idx="247">
                    <c:v>04:20</c:v>
                  </c:pt>
                  <c:pt idx="248">
                    <c:v>04:22</c:v>
                  </c:pt>
                  <c:pt idx="249">
                    <c:v>04:26</c:v>
                  </c:pt>
                  <c:pt idx="250">
                    <c:v>04:27</c:v>
                  </c:pt>
                  <c:pt idx="251">
                    <c:v>04:30</c:v>
                  </c:pt>
                  <c:pt idx="252">
                    <c:v>04:37</c:v>
                  </c:pt>
                  <c:pt idx="253">
                    <c:v>04:47</c:v>
                  </c:pt>
                  <c:pt idx="254">
                    <c:v>04:52</c:v>
                  </c:pt>
                  <c:pt idx="255">
                    <c:v>05:00</c:v>
                  </c:pt>
                  <c:pt idx="256">
                    <c:v>05:01</c:v>
                  </c:pt>
                  <c:pt idx="257">
                    <c:v>05:02</c:v>
                  </c:pt>
                  <c:pt idx="258">
                    <c:v>05:08</c:v>
                  </c:pt>
                  <c:pt idx="259">
                    <c:v>05:14</c:v>
                  </c:pt>
                  <c:pt idx="260">
                    <c:v>05:22</c:v>
                  </c:pt>
                  <c:pt idx="261">
                    <c:v>05:24</c:v>
                  </c:pt>
                  <c:pt idx="262">
                    <c:v>05:39</c:v>
                  </c:pt>
                  <c:pt idx="263">
                    <c:v>05:45</c:v>
                  </c:pt>
                  <c:pt idx="264">
                    <c:v>05:47</c:v>
                  </c:pt>
                  <c:pt idx="265">
                    <c:v>05:55</c:v>
                  </c:pt>
                  <c:pt idx="266">
                    <c:v>06:09</c:v>
                  </c:pt>
                  <c:pt idx="267">
                    <c:v>06:15</c:v>
                  </c:pt>
                  <c:pt idx="268">
                    <c:v>06:16</c:v>
                  </c:pt>
                  <c:pt idx="269">
                    <c:v>06:21</c:v>
                  </c:pt>
                  <c:pt idx="270">
                    <c:v>06:24</c:v>
                  </c:pt>
                  <c:pt idx="271">
                    <c:v>06:26</c:v>
                  </c:pt>
                  <c:pt idx="272">
                    <c:v>06:27</c:v>
                  </c:pt>
                  <c:pt idx="273">
                    <c:v>06:34</c:v>
                  </c:pt>
                  <c:pt idx="274">
                    <c:v>06:36</c:v>
                  </c:pt>
                  <c:pt idx="275">
                    <c:v>06:37</c:v>
                  </c:pt>
                  <c:pt idx="276">
                    <c:v>06:57</c:v>
                  </c:pt>
                  <c:pt idx="277">
                    <c:v>07:00</c:v>
                  </c:pt>
                  <c:pt idx="278">
                    <c:v>07:06</c:v>
                  </c:pt>
                  <c:pt idx="279">
                    <c:v>07:12</c:v>
                  </c:pt>
                  <c:pt idx="280">
                    <c:v>07:16</c:v>
                  </c:pt>
                  <c:pt idx="281">
                    <c:v>07:17</c:v>
                  </c:pt>
                  <c:pt idx="282">
                    <c:v>07:20</c:v>
                  </c:pt>
                  <c:pt idx="283">
                    <c:v>07:21</c:v>
                  </c:pt>
                  <c:pt idx="284">
                    <c:v>07:29</c:v>
                  </c:pt>
                  <c:pt idx="285">
                    <c:v>07:42</c:v>
                  </c:pt>
                  <c:pt idx="286">
                    <c:v>07:44</c:v>
                  </c:pt>
                  <c:pt idx="287">
                    <c:v>07:52</c:v>
                  </c:pt>
                  <c:pt idx="288">
                    <c:v>07:55</c:v>
                  </c:pt>
                  <c:pt idx="289">
                    <c:v>07:57</c:v>
                  </c:pt>
                </c:lvl>
                <c:lvl>
                  <c:pt idx="0">
                    <c:v>2024-07-26</c:v>
                  </c:pt>
                  <c:pt idx="204">
                    <c:v>2024-07-27</c:v>
                  </c:pt>
                </c:lvl>
              </c:multiLvlStrCache>
            </c:multiLvlStrRef>
          </c:cat>
          <c:val>
            <c:numRef>
              <c:f>1</c:f>
              <c:numCache>
                <c:formatCode>General</c:formatCode>
                <c:ptCount val="290"/>
                <c:pt idx="0">
                  <c:v>1</c:v>
                </c:pt>
                <c:pt idx="5">
                  <c:v>1</c:v>
                </c:pt>
                <c:pt idx="7">
                  <c:v>1</c:v>
                </c:pt>
                <c:pt idx="8">
                  <c:v>1</c:v>
                </c:pt>
                <c:pt idx="10">
                  <c:v>1</c:v>
                </c:pt>
                <c:pt idx="11">
                  <c:v>1</c:v>
                </c:pt>
                <c:pt idx="13">
                  <c:v>1</c:v>
                </c:pt>
                <c:pt idx="15">
                  <c:v>1</c:v>
                </c:pt>
                <c:pt idx="17">
                  <c:v>1</c:v>
                </c:pt>
                <c:pt idx="21">
                  <c:v>1</c:v>
                </c:pt>
                <c:pt idx="22">
                  <c:v>1</c:v>
                </c:pt>
                <c:pt idx="24">
                  <c:v>1</c:v>
                </c:pt>
                <c:pt idx="26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2">
                  <c:v>1</c:v>
                </c:pt>
                <c:pt idx="34">
                  <c:v>1</c:v>
                </c:pt>
                <c:pt idx="35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3">
                  <c:v>2</c:v>
                </c:pt>
                <c:pt idx="64">
                  <c:v>1</c:v>
                </c:pt>
                <c:pt idx="68">
                  <c:v>1</c:v>
                </c:pt>
                <c:pt idx="69">
                  <c:v>2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9">
                  <c:v>1</c:v>
                </c:pt>
                <c:pt idx="84">
                  <c:v>1</c:v>
                </c:pt>
                <c:pt idx="85">
                  <c:v>1</c:v>
                </c:pt>
                <c:pt idx="87">
                  <c:v>1</c:v>
                </c:pt>
                <c:pt idx="88">
                  <c:v>1</c:v>
                </c:pt>
                <c:pt idx="90">
                  <c:v>1</c:v>
                </c:pt>
                <c:pt idx="91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100">
                  <c:v>1</c:v>
                </c:pt>
                <c:pt idx="101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2">
                  <c:v>1</c:v>
                </c:pt>
                <c:pt idx="113">
                  <c:v>1</c:v>
                </c:pt>
                <c:pt idx="118">
                  <c:v>1</c:v>
                </c:pt>
                <c:pt idx="119">
                  <c:v>2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9">
                  <c:v>1</c:v>
                </c:pt>
                <c:pt idx="141">
                  <c:v>1</c:v>
                </c:pt>
                <c:pt idx="144">
                  <c:v>1</c:v>
                </c:pt>
                <c:pt idx="146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6">
                  <c:v>1</c:v>
                </c:pt>
                <c:pt idx="157">
                  <c:v>1</c:v>
                </c:pt>
                <c:pt idx="164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4">
                  <c:v>1</c:v>
                </c:pt>
                <c:pt idx="176">
                  <c:v>1</c:v>
                </c:pt>
                <c:pt idx="180">
                  <c:v>1</c:v>
                </c:pt>
                <c:pt idx="185">
                  <c:v>1</c:v>
                </c:pt>
                <c:pt idx="187">
                  <c:v>1</c:v>
                </c:pt>
                <c:pt idx="190">
                  <c:v>1</c:v>
                </c:pt>
                <c:pt idx="191">
                  <c:v>1</c:v>
                </c:pt>
                <c:pt idx="193">
                  <c:v>1</c:v>
                </c:pt>
                <c:pt idx="195">
                  <c:v>1</c:v>
                </c:pt>
                <c:pt idx="197">
                  <c:v>1</c:v>
                </c:pt>
                <c:pt idx="198">
                  <c:v>1</c:v>
                </c:pt>
                <c:pt idx="201">
                  <c:v>1</c:v>
                </c:pt>
                <c:pt idx="202">
                  <c:v>1</c:v>
                </c:pt>
                <c:pt idx="205">
                  <c:v>1</c:v>
                </c:pt>
                <c:pt idx="206">
                  <c:v>1</c:v>
                </c:pt>
                <c:pt idx="211">
                  <c:v>1</c:v>
                </c:pt>
                <c:pt idx="213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2</c:v>
                </c:pt>
                <c:pt idx="218">
                  <c:v>1</c:v>
                </c:pt>
                <c:pt idx="224">
                  <c:v>1</c:v>
                </c:pt>
                <c:pt idx="225">
                  <c:v>1</c:v>
                </c:pt>
                <c:pt idx="227">
                  <c:v>1</c:v>
                </c:pt>
                <c:pt idx="228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4">
                  <c:v>1</c:v>
                </c:pt>
                <c:pt idx="238">
                  <c:v>1</c:v>
                </c:pt>
                <c:pt idx="239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6">
                  <c:v>2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2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1">
                  <c:v>1</c:v>
                </c:pt>
                <c:pt idx="267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2</c:v>
                </c:pt>
                <c:pt idx="277">
                  <c:v>1</c:v>
                </c:pt>
                <c:pt idx="279">
                  <c:v>1</c:v>
                </c:pt>
                <c:pt idx="282">
                  <c:v>1</c:v>
                </c:pt>
                <c:pt idx="284">
                  <c:v>1</c:v>
                </c:pt>
                <c:pt idx="286">
                  <c:v>1</c:v>
                </c:pt>
                <c:pt idx="288">
                  <c:v>1</c:v>
                </c:pt>
              </c:numCache>
            </c:numRef>
          </c:val>
        </c:ser>
        <c:gapWidth val="100"/>
        <c:shape val="cone"/>
        <c:axId val="5995163"/>
        <c:axId val="83109226"/>
        <c:axId val="0"/>
      </c:bar3DChart>
      <c:catAx>
        <c:axId val="599516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9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rPr>
                  <a:t>Date &amp; Time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hh:mm\ AM/PM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7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83109226"/>
        <c:crosses val="autoZero"/>
        <c:auto val="1"/>
        <c:lblAlgn val="ctr"/>
        <c:lblOffset val="100"/>
        <c:noMultiLvlLbl val="0"/>
      </c:catAx>
      <c:valAx>
        <c:axId val="8310922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9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rPr>
                  <a:t>Count</a:t>
                </a:r>
              </a:p>
            </c:rich>
          </c:tx>
          <c:layout>
            <c:manualLayout>
              <c:xMode val="edge"/>
              <c:yMode val="edge"/>
              <c:x val="0.0224624802527646"/>
              <c:y val="0.422979022206618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5995163"/>
        <c:crosses val="autoZero"/>
        <c:crossBetween val="between"/>
      </c:valAx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gradFill>
      <a:gsLst>
        <a:gs pos="0">
          <a:srgbClr val="b4c7dc"/>
        </a:gs>
        <a:gs pos="100000">
          <a:srgbClr val="ffd7d7"/>
        </a:gs>
      </a:gsLst>
      <a:path path="rect">
        <a:fillToRect l="50000" t="50000" r="50000" b="50000"/>
      </a:path>
    </a:gradFill>
    <a:ln w="0">
      <a:noFill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sz="1300" strike="noStrike" u="none">
                <a:solidFill>
                  <a:srgbClr val="c9211e"/>
                </a:solidFill>
                <a:uFillTx/>
                <a:latin typeface="Arial"/>
                <a:ea typeface="DejaVu Sans"/>
              </a:rPr>
              <a:t>Firewall Log - Trends Over Time</a:t>
            </a:r>
          </a:p>
          <a:p>
            <a:pPr>
              <a:defRPr b="0" sz="1300" strike="noStrike" u="none">
                <a:uFillTx/>
                <a:latin typeface="Arial"/>
              </a:defRPr>
            </a:pPr>
            <a:r>
              <a:rPr b="0" sz="1100" strike="noStrike" u="none">
                <a:solidFill>
                  <a:srgbClr val="c9211e"/>
                </a:solidFill>
                <a:uFillTx/>
                <a:latin typeface="Arial"/>
                <a:ea typeface="DejaVu Sans"/>
              </a:rPr>
              <a:t>Allowed and Blocked IPs</a:t>
            </a:r>
          </a:p>
        </c:rich>
      </c:tx>
      <c:overlay val="0"/>
      <c:spPr>
        <a:gradFill>
          <a:gsLst>
            <a:gs pos="0">
              <a:srgbClr val="b4c7dc"/>
            </a:gs>
            <a:gs pos="100000">
              <a:srgbClr val="dee6ef"/>
            </a:gs>
          </a:gsLst>
          <a:lin ang="5340000"/>
        </a:gradFill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label 0</c:f>
              <c:strCache>
                <c:ptCount val="1"/>
                <c:pt idx="0">
                  <c:v>Allowed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categories</c:f>
              <c:multiLvlStrCache>
                <c:ptCount val="427"/>
                <c:lvl>
                  <c:pt idx="0">
                    <c:v>08:00:00</c:v>
                  </c:pt>
                  <c:pt idx="1">
                    <c:v>08:03:00</c:v>
                  </c:pt>
                  <c:pt idx="2">
                    <c:v>08:07:00</c:v>
                  </c:pt>
                  <c:pt idx="3">
                    <c:v>08:10:00</c:v>
                  </c:pt>
                  <c:pt idx="4">
                    <c:v>08:16:00</c:v>
                  </c:pt>
                  <c:pt idx="5">
                    <c:v>08:22:00</c:v>
                  </c:pt>
                  <c:pt idx="6">
                    <c:v>08:23:00</c:v>
                  </c:pt>
                  <c:pt idx="7">
                    <c:v>08:29:00</c:v>
                  </c:pt>
                  <c:pt idx="8">
                    <c:v>08:35:00</c:v>
                  </c:pt>
                  <c:pt idx="9">
                    <c:v>08:36:00</c:v>
                  </c:pt>
                  <c:pt idx="10">
                    <c:v>08:43:00</c:v>
                  </c:pt>
                  <c:pt idx="11">
                    <c:v>08:51:00</c:v>
                  </c:pt>
                  <c:pt idx="12">
                    <c:v>08:54:00</c:v>
                  </c:pt>
                  <c:pt idx="13">
                    <c:v>08:55:00</c:v>
                  </c:pt>
                  <c:pt idx="14">
                    <c:v>08:57:00</c:v>
                  </c:pt>
                  <c:pt idx="15">
                    <c:v>08:58:00</c:v>
                  </c:pt>
                  <c:pt idx="16">
                    <c:v>09:04:00</c:v>
                  </c:pt>
                  <c:pt idx="17">
                    <c:v>09:06:00</c:v>
                  </c:pt>
                  <c:pt idx="18">
                    <c:v>09:16:00</c:v>
                  </c:pt>
                  <c:pt idx="19">
                    <c:v>09:22:00</c:v>
                  </c:pt>
                  <c:pt idx="20">
                    <c:v>09:24:00</c:v>
                  </c:pt>
                  <c:pt idx="21">
                    <c:v>09:25:00</c:v>
                  </c:pt>
                  <c:pt idx="22">
                    <c:v>09:28:00</c:v>
                  </c:pt>
                  <c:pt idx="23">
                    <c:v>09:31:00</c:v>
                  </c:pt>
                  <c:pt idx="24">
                    <c:v>09:33:00</c:v>
                  </c:pt>
                  <c:pt idx="25">
                    <c:v>09:35:00</c:v>
                  </c:pt>
                  <c:pt idx="26">
                    <c:v>09:41:00</c:v>
                  </c:pt>
                  <c:pt idx="27">
                    <c:v>09:56:00</c:v>
                  </c:pt>
                  <c:pt idx="28">
                    <c:v>09:57:00</c:v>
                  </c:pt>
                  <c:pt idx="29">
                    <c:v>10:01:00</c:v>
                  </c:pt>
                  <c:pt idx="30">
                    <c:v>10:02:00</c:v>
                  </c:pt>
                  <c:pt idx="31">
                    <c:v>10:06:00</c:v>
                  </c:pt>
                  <c:pt idx="32">
                    <c:v>10:09:00</c:v>
                  </c:pt>
                  <c:pt idx="33">
                    <c:v>10:13:00</c:v>
                  </c:pt>
                  <c:pt idx="34">
                    <c:v>10:16:00</c:v>
                  </c:pt>
                  <c:pt idx="35">
                    <c:v>10:19:00</c:v>
                  </c:pt>
                  <c:pt idx="36">
                    <c:v>10:21:00</c:v>
                  </c:pt>
                  <c:pt idx="37">
                    <c:v>10:22:00</c:v>
                  </c:pt>
                  <c:pt idx="38">
                    <c:v>10:24:00</c:v>
                  </c:pt>
                  <c:pt idx="39">
                    <c:v>10:25:00</c:v>
                  </c:pt>
                  <c:pt idx="40">
                    <c:v>10:26:00</c:v>
                  </c:pt>
                  <c:pt idx="41">
                    <c:v>10:30:00</c:v>
                  </c:pt>
                  <c:pt idx="42">
                    <c:v>10:38:00</c:v>
                  </c:pt>
                  <c:pt idx="43">
                    <c:v>10:39:00</c:v>
                  </c:pt>
                  <c:pt idx="44">
                    <c:v>10:40:00</c:v>
                  </c:pt>
                  <c:pt idx="45">
                    <c:v>10:41:00</c:v>
                  </c:pt>
                  <c:pt idx="46">
                    <c:v>10:43:00</c:v>
                  </c:pt>
                  <c:pt idx="47">
                    <c:v>10:45:00</c:v>
                  </c:pt>
                  <c:pt idx="48">
                    <c:v>10:47:00</c:v>
                  </c:pt>
                  <c:pt idx="49">
                    <c:v>10:53:00</c:v>
                  </c:pt>
                  <c:pt idx="50">
                    <c:v>10:54:00</c:v>
                  </c:pt>
                  <c:pt idx="51">
                    <c:v>10:57:00</c:v>
                  </c:pt>
                  <c:pt idx="52">
                    <c:v>11:00:00</c:v>
                  </c:pt>
                  <c:pt idx="53">
                    <c:v>11:05:00</c:v>
                  </c:pt>
                  <c:pt idx="54">
                    <c:v>11:15:00</c:v>
                  </c:pt>
                  <c:pt idx="55">
                    <c:v>11:16:00</c:v>
                  </c:pt>
                  <c:pt idx="56">
                    <c:v>11:20:00</c:v>
                  </c:pt>
                  <c:pt idx="57">
                    <c:v>11:23:00</c:v>
                  </c:pt>
                  <c:pt idx="58">
                    <c:v>11:25:00</c:v>
                  </c:pt>
                  <c:pt idx="59">
                    <c:v>11:26:00</c:v>
                  </c:pt>
                  <c:pt idx="60">
                    <c:v>11:30:00</c:v>
                  </c:pt>
                  <c:pt idx="61">
                    <c:v>11:31:00</c:v>
                  </c:pt>
                  <c:pt idx="62">
                    <c:v>11:33:00</c:v>
                  </c:pt>
                  <c:pt idx="63">
                    <c:v>11:34:00</c:v>
                  </c:pt>
                  <c:pt idx="64">
                    <c:v>11:37:00</c:v>
                  </c:pt>
                  <c:pt idx="65">
                    <c:v>11:46:00</c:v>
                  </c:pt>
                  <c:pt idx="66">
                    <c:v>11:53:00</c:v>
                  </c:pt>
                  <c:pt idx="67">
                    <c:v>11:54:00</c:v>
                  </c:pt>
                  <c:pt idx="68">
                    <c:v>11:55:00</c:v>
                  </c:pt>
                  <c:pt idx="69">
                    <c:v>11:57:00</c:v>
                  </c:pt>
                  <c:pt idx="70">
                    <c:v>11:58:00</c:v>
                  </c:pt>
                  <c:pt idx="71">
                    <c:v>12:00:00</c:v>
                  </c:pt>
                  <c:pt idx="72">
                    <c:v>12:03:00</c:v>
                  </c:pt>
                  <c:pt idx="73">
                    <c:v>12:05:00</c:v>
                  </c:pt>
                  <c:pt idx="74">
                    <c:v>12:07:00</c:v>
                  </c:pt>
                  <c:pt idx="75">
                    <c:v>12:08:00</c:v>
                  </c:pt>
                  <c:pt idx="76">
                    <c:v>12:10:00</c:v>
                  </c:pt>
                  <c:pt idx="77">
                    <c:v>12:12:00</c:v>
                  </c:pt>
                  <c:pt idx="78">
                    <c:v>12:14:00</c:v>
                  </c:pt>
                  <c:pt idx="79">
                    <c:v>12:22:00</c:v>
                  </c:pt>
                  <c:pt idx="80">
                    <c:v>12:25:00</c:v>
                  </c:pt>
                  <c:pt idx="81">
                    <c:v>12:26:00</c:v>
                  </c:pt>
                  <c:pt idx="82">
                    <c:v>12:27:00</c:v>
                  </c:pt>
                  <c:pt idx="83">
                    <c:v>12:28:00</c:v>
                  </c:pt>
                  <c:pt idx="84">
                    <c:v>12:32:00</c:v>
                  </c:pt>
                  <c:pt idx="85">
                    <c:v>12:33:00</c:v>
                  </c:pt>
                  <c:pt idx="86">
                    <c:v>12:42:00</c:v>
                  </c:pt>
                  <c:pt idx="87">
                    <c:v>12:48:00</c:v>
                  </c:pt>
                  <c:pt idx="88">
                    <c:v>12:54:00</c:v>
                  </c:pt>
                  <c:pt idx="89">
                    <c:v>13:04:00</c:v>
                  </c:pt>
                  <c:pt idx="90">
                    <c:v>13:05:00</c:v>
                  </c:pt>
                  <c:pt idx="91">
                    <c:v>13:12:00</c:v>
                  </c:pt>
                  <c:pt idx="92">
                    <c:v>13:17:00</c:v>
                  </c:pt>
                  <c:pt idx="93">
                    <c:v>13:18:00</c:v>
                  </c:pt>
                  <c:pt idx="94">
                    <c:v>13:21:00</c:v>
                  </c:pt>
                  <c:pt idx="95">
                    <c:v>13:22:00</c:v>
                  </c:pt>
                  <c:pt idx="96">
                    <c:v>13:25:00</c:v>
                  </c:pt>
                  <c:pt idx="97">
                    <c:v>13:26:00</c:v>
                  </c:pt>
                  <c:pt idx="98">
                    <c:v>13:28:00</c:v>
                  </c:pt>
                  <c:pt idx="99">
                    <c:v>13:29:00</c:v>
                  </c:pt>
                  <c:pt idx="100">
                    <c:v>13:33:00</c:v>
                  </c:pt>
                  <c:pt idx="101">
                    <c:v>13:37:00</c:v>
                  </c:pt>
                  <c:pt idx="102">
                    <c:v>13:38:00</c:v>
                  </c:pt>
                  <c:pt idx="103">
                    <c:v>13:41:00</c:v>
                  </c:pt>
                  <c:pt idx="104">
                    <c:v>13:43:00</c:v>
                  </c:pt>
                  <c:pt idx="105">
                    <c:v>13:51:00</c:v>
                  </c:pt>
                  <c:pt idx="106">
                    <c:v>13:55:00</c:v>
                  </c:pt>
                  <c:pt idx="107">
                    <c:v>13:57:00</c:v>
                  </c:pt>
                  <c:pt idx="108">
                    <c:v>14:00:00</c:v>
                  </c:pt>
                  <c:pt idx="109">
                    <c:v>14:04:00</c:v>
                  </c:pt>
                  <c:pt idx="110">
                    <c:v>14:08:00</c:v>
                  </c:pt>
                  <c:pt idx="111">
                    <c:v>14:09:00</c:v>
                  </c:pt>
                  <c:pt idx="112">
                    <c:v>14:11:00</c:v>
                  </c:pt>
                  <c:pt idx="113">
                    <c:v>14:15:00</c:v>
                  </c:pt>
                  <c:pt idx="114">
                    <c:v>14:20:00</c:v>
                  </c:pt>
                  <c:pt idx="115">
                    <c:v>14:23:00</c:v>
                  </c:pt>
                  <c:pt idx="116">
                    <c:v>14:30:00</c:v>
                  </c:pt>
                  <c:pt idx="117">
                    <c:v>14:33:00</c:v>
                  </c:pt>
                  <c:pt idx="118">
                    <c:v>14:34:00</c:v>
                  </c:pt>
                  <c:pt idx="119">
                    <c:v>14:36:00</c:v>
                  </c:pt>
                  <c:pt idx="120">
                    <c:v>14:39:00</c:v>
                  </c:pt>
                  <c:pt idx="121">
                    <c:v>14:47:00</c:v>
                  </c:pt>
                  <c:pt idx="122">
                    <c:v>14:49:00</c:v>
                  </c:pt>
                  <c:pt idx="123">
                    <c:v>14:50:00</c:v>
                  </c:pt>
                  <c:pt idx="124">
                    <c:v>14:54:00</c:v>
                  </c:pt>
                  <c:pt idx="125">
                    <c:v>14:55:00</c:v>
                  </c:pt>
                  <c:pt idx="126">
                    <c:v>14:57:00</c:v>
                  </c:pt>
                  <c:pt idx="127">
                    <c:v>14:58:00</c:v>
                  </c:pt>
                  <c:pt idx="128">
                    <c:v>14:59:00</c:v>
                  </c:pt>
                  <c:pt idx="129">
                    <c:v>15:00:00</c:v>
                  </c:pt>
                  <c:pt idx="130">
                    <c:v>15:01:00</c:v>
                  </c:pt>
                  <c:pt idx="131">
                    <c:v>15:03:00</c:v>
                  </c:pt>
                  <c:pt idx="132">
                    <c:v>15:04:00</c:v>
                  </c:pt>
                  <c:pt idx="133">
                    <c:v>15:08:00</c:v>
                  </c:pt>
                  <c:pt idx="134">
                    <c:v>15:10:00</c:v>
                  </c:pt>
                  <c:pt idx="135">
                    <c:v>15:12:00</c:v>
                  </c:pt>
                  <c:pt idx="136">
                    <c:v>15:15:00</c:v>
                  </c:pt>
                  <c:pt idx="137">
                    <c:v>15:17:00</c:v>
                  </c:pt>
                  <c:pt idx="138">
                    <c:v>15:20:00</c:v>
                  </c:pt>
                  <c:pt idx="139">
                    <c:v>15:21:00</c:v>
                  </c:pt>
                  <c:pt idx="140">
                    <c:v>15:23:00</c:v>
                  </c:pt>
                  <c:pt idx="141">
                    <c:v>15:26:00</c:v>
                  </c:pt>
                  <c:pt idx="142">
                    <c:v>15:29:00</c:v>
                  </c:pt>
                  <c:pt idx="143">
                    <c:v>15:33:00</c:v>
                  </c:pt>
                  <c:pt idx="144">
                    <c:v>15:38:00</c:v>
                  </c:pt>
                  <c:pt idx="145">
                    <c:v>15:41:00</c:v>
                  </c:pt>
                  <c:pt idx="146">
                    <c:v>15:43:00</c:v>
                  </c:pt>
                  <c:pt idx="147">
                    <c:v>15:46:00</c:v>
                  </c:pt>
                  <c:pt idx="148">
                    <c:v>15:47:00</c:v>
                  </c:pt>
                  <c:pt idx="149">
                    <c:v>15:55:00</c:v>
                  </c:pt>
                  <c:pt idx="150">
                    <c:v>15:57:00</c:v>
                  </c:pt>
                  <c:pt idx="151">
                    <c:v>16:02:00</c:v>
                  </c:pt>
                  <c:pt idx="152">
                    <c:v>16:03:00</c:v>
                  </c:pt>
                  <c:pt idx="153">
                    <c:v>16:04:00</c:v>
                  </c:pt>
                  <c:pt idx="154">
                    <c:v>16:07:00</c:v>
                  </c:pt>
                  <c:pt idx="155">
                    <c:v>16:10:00</c:v>
                  </c:pt>
                  <c:pt idx="156">
                    <c:v>16:12:00</c:v>
                  </c:pt>
                  <c:pt idx="157">
                    <c:v>16:13:00</c:v>
                  </c:pt>
                  <c:pt idx="158">
                    <c:v>16:14:00</c:v>
                  </c:pt>
                  <c:pt idx="159">
                    <c:v>16:20:00</c:v>
                  </c:pt>
                  <c:pt idx="160">
                    <c:v>16:24:00</c:v>
                  </c:pt>
                  <c:pt idx="161">
                    <c:v>16:28:00</c:v>
                  </c:pt>
                  <c:pt idx="162">
                    <c:v>16:30:00</c:v>
                  </c:pt>
                  <c:pt idx="163">
                    <c:v>16:31:00</c:v>
                  </c:pt>
                  <c:pt idx="164">
                    <c:v>16:36:00</c:v>
                  </c:pt>
                  <c:pt idx="165">
                    <c:v>16:40:00</c:v>
                  </c:pt>
                  <c:pt idx="166">
                    <c:v>16:42:00</c:v>
                  </c:pt>
                  <c:pt idx="167">
                    <c:v>16:43:00</c:v>
                  </c:pt>
                  <c:pt idx="168">
                    <c:v>16:46:00</c:v>
                  </c:pt>
                  <c:pt idx="169">
                    <c:v>16:52:00</c:v>
                  </c:pt>
                  <c:pt idx="170">
                    <c:v>16:54:00</c:v>
                  </c:pt>
                  <c:pt idx="171">
                    <c:v>16:59:00</c:v>
                  </c:pt>
                  <c:pt idx="172">
                    <c:v>17:01:00</c:v>
                  </c:pt>
                  <c:pt idx="173">
                    <c:v>17:02:00</c:v>
                  </c:pt>
                  <c:pt idx="174">
                    <c:v>17:03:00</c:v>
                  </c:pt>
                  <c:pt idx="175">
                    <c:v>17:07:00</c:v>
                  </c:pt>
                  <c:pt idx="176">
                    <c:v>17:12:00</c:v>
                  </c:pt>
                  <c:pt idx="177">
                    <c:v>17:13:00</c:v>
                  </c:pt>
                  <c:pt idx="178">
                    <c:v>17:17:00</c:v>
                  </c:pt>
                  <c:pt idx="179">
                    <c:v>17:21:00</c:v>
                  </c:pt>
                  <c:pt idx="180">
                    <c:v>17:22:00</c:v>
                  </c:pt>
                  <c:pt idx="181">
                    <c:v>17:47:00</c:v>
                  </c:pt>
                  <c:pt idx="182">
                    <c:v>17:48:00</c:v>
                  </c:pt>
                  <c:pt idx="183">
                    <c:v>17:49:00</c:v>
                  </c:pt>
                  <c:pt idx="184">
                    <c:v>17:50:00</c:v>
                  </c:pt>
                  <c:pt idx="185">
                    <c:v>17:55:00</c:v>
                  </c:pt>
                  <c:pt idx="186">
                    <c:v>18:04:00</c:v>
                  </c:pt>
                  <c:pt idx="187">
                    <c:v>18:12:00</c:v>
                  </c:pt>
                  <c:pt idx="188">
                    <c:v>18:14:00</c:v>
                  </c:pt>
                  <c:pt idx="189">
                    <c:v>18:16:00</c:v>
                  </c:pt>
                  <c:pt idx="190">
                    <c:v>18:17:00</c:v>
                  </c:pt>
                  <c:pt idx="191">
                    <c:v>18:25:00</c:v>
                  </c:pt>
                  <c:pt idx="192">
                    <c:v>18:27:00</c:v>
                  </c:pt>
                  <c:pt idx="193">
                    <c:v>18:33:00</c:v>
                  </c:pt>
                  <c:pt idx="194">
                    <c:v>18:41:00</c:v>
                  </c:pt>
                  <c:pt idx="195">
                    <c:v>18:45:00</c:v>
                  </c:pt>
                  <c:pt idx="196">
                    <c:v>18:49:00</c:v>
                  </c:pt>
                  <c:pt idx="197">
                    <c:v>18:50:00</c:v>
                  </c:pt>
                  <c:pt idx="198">
                    <c:v>18:51:00</c:v>
                  </c:pt>
                  <c:pt idx="199">
                    <c:v>18:52:00</c:v>
                  </c:pt>
                  <c:pt idx="200">
                    <c:v>18:53:00</c:v>
                  </c:pt>
                  <c:pt idx="201">
                    <c:v>18:54:00</c:v>
                  </c:pt>
                  <c:pt idx="202">
                    <c:v>18:56:00</c:v>
                  </c:pt>
                  <c:pt idx="203">
                    <c:v>18:58:00</c:v>
                  </c:pt>
                  <c:pt idx="204">
                    <c:v>19:03:00</c:v>
                  </c:pt>
                  <c:pt idx="205">
                    <c:v>19:04:00</c:v>
                  </c:pt>
                  <c:pt idx="206">
                    <c:v>19:06:00</c:v>
                  </c:pt>
                  <c:pt idx="207">
                    <c:v>19:07:00</c:v>
                  </c:pt>
                  <c:pt idx="208">
                    <c:v>19:13:00</c:v>
                  </c:pt>
                  <c:pt idx="209">
                    <c:v>19:14:00</c:v>
                  </c:pt>
                  <c:pt idx="210">
                    <c:v>19:15:00</c:v>
                  </c:pt>
                  <c:pt idx="211">
                    <c:v>19:22:00</c:v>
                  </c:pt>
                  <c:pt idx="212">
                    <c:v>19:23:00</c:v>
                  </c:pt>
                  <c:pt idx="213">
                    <c:v>19:24:00</c:v>
                  </c:pt>
                  <c:pt idx="214">
                    <c:v>19:26:00</c:v>
                  </c:pt>
                  <c:pt idx="215">
                    <c:v>19:29:00</c:v>
                  </c:pt>
                  <c:pt idx="216">
                    <c:v>19:31:00</c:v>
                  </c:pt>
                  <c:pt idx="217">
                    <c:v>19:33:00</c:v>
                  </c:pt>
                  <c:pt idx="218">
                    <c:v>19:36:00</c:v>
                  </c:pt>
                  <c:pt idx="219">
                    <c:v>19:38:00</c:v>
                  </c:pt>
                  <c:pt idx="220">
                    <c:v>19:40:00</c:v>
                  </c:pt>
                  <c:pt idx="221">
                    <c:v>19:42:00</c:v>
                  </c:pt>
                  <c:pt idx="222">
                    <c:v>19:45:00</c:v>
                  </c:pt>
                  <c:pt idx="223">
                    <c:v>19:55:00</c:v>
                  </c:pt>
                  <c:pt idx="224">
                    <c:v>19:57:00</c:v>
                  </c:pt>
                  <c:pt idx="225">
                    <c:v>19:59:00</c:v>
                  </c:pt>
                  <c:pt idx="226">
                    <c:v>20:00:00</c:v>
                  </c:pt>
                  <c:pt idx="227">
                    <c:v>20:05:00</c:v>
                  </c:pt>
                  <c:pt idx="228">
                    <c:v>20:08:00</c:v>
                  </c:pt>
                  <c:pt idx="229">
                    <c:v>20:09:00</c:v>
                  </c:pt>
                  <c:pt idx="230">
                    <c:v>20:11:00</c:v>
                  </c:pt>
                  <c:pt idx="231">
                    <c:v>20:12:00</c:v>
                  </c:pt>
                  <c:pt idx="232">
                    <c:v>20:20:00</c:v>
                  </c:pt>
                  <c:pt idx="233">
                    <c:v>20:22:00</c:v>
                  </c:pt>
                  <c:pt idx="234">
                    <c:v>20:25:00</c:v>
                  </c:pt>
                  <c:pt idx="235">
                    <c:v>20:26:00</c:v>
                  </c:pt>
                  <c:pt idx="236">
                    <c:v>20:27:00</c:v>
                  </c:pt>
                  <c:pt idx="237">
                    <c:v>20:28:00</c:v>
                  </c:pt>
                  <c:pt idx="238">
                    <c:v>20:30:00</c:v>
                  </c:pt>
                  <c:pt idx="239">
                    <c:v>20:36:00</c:v>
                  </c:pt>
                  <c:pt idx="240">
                    <c:v>20:40:00</c:v>
                  </c:pt>
                  <c:pt idx="241">
                    <c:v>20:41:00</c:v>
                  </c:pt>
                  <c:pt idx="242">
                    <c:v>20:42:00</c:v>
                  </c:pt>
                  <c:pt idx="243">
                    <c:v>20:44:00</c:v>
                  </c:pt>
                  <c:pt idx="244">
                    <c:v>20:50:00</c:v>
                  </c:pt>
                  <c:pt idx="245">
                    <c:v>20:51:00</c:v>
                  </c:pt>
                  <c:pt idx="246">
                    <c:v>20:53:00</c:v>
                  </c:pt>
                  <c:pt idx="247">
                    <c:v>20:54:00</c:v>
                  </c:pt>
                  <c:pt idx="248">
                    <c:v>21:00:00</c:v>
                  </c:pt>
                  <c:pt idx="249">
                    <c:v>21:02:00</c:v>
                  </c:pt>
                  <c:pt idx="250">
                    <c:v>21:06:00</c:v>
                  </c:pt>
                  <c:pt idx="251">
                    <c:v>21:14:00</c:v>
                  </c:pt>
                  <c:pt idx="252">
                    <c:v>21:17:00</c:v>
                  </c:pt>
                  <c:pt idx="253">
                    <c:v>21:20:00</c:v>
                  </c:pt>
                  <c:pt idx="254">
                    <c:v>21:23:00</c:v>
                  </c:pt>
                  <c:pt idx="255">
                    <c:v>21:26:00</c:v>
                  </c:pt>
                  <c:pt idx="256">
                    <c:v>21:38:00</c:v>
                  </c:pt>
                  <c:pt idx="257">
                    <c:v>21:40:00</c:v>
                  </c:pt>
                  <c:pt idx="258">
                    <c:v>21:49:00</c:v>
                  </c:pt>
                  <c:pt idx="259">
                    <c:v>21:53:00</c:v>
                  </c:pt>
                  <c:pt idx="260">
                    <c:v>21:56:00</c:v>
                  </c:pt>
                  <c:pt idx="261">
                    <c:v>21:58:00</c:v>
                  </c:pt>
                  <c:pt idx="262">
                    <c:v>22:04:00</c:v>
                  </c:pt>
                  <c:pt idx="263">
                    <c:v>22:06:00</c:v>
                  </c:pt>
                  <c:pt idx="264">
                    <c:v>22:08:00</c:v>
                  </c:pt>
                  <c:pt idx="265">
                    <c:v>22:09:00</c:v>
                  </c:pt>
                  <c:pt idx="266">
                    <c:v>22:24:00</c:v>
                  </c:pt>
                  <c:pt idx="267">
                    <c:v>22:26:00</c:v>
                  </c:pt>
                  <c:pt idx="268">
                    <c:v>22:28:00</c:v>
                  </c:pt>
                  <c:pt idx="269">
                    <c:v>22:29:00</c:v>
                  </c:pt>
                  <c:pt idx="270">
                    <c:v>22:30:00</c:v>
                  </c:pt>
                  <c:pt idx="271">
                    <c:v>22:32:00</c:v>
                  </c:pt>
                  <c:pt idx="272">
                    <c:v>22:39:00</c:v>
                  </c:pt>
                  <c:pt idx="273">
                    <c:v>22:50:00</c:v>
                  </c:pt>
                  <c:pt idx="274">
                    <c:v>22:53:00</c:v>
                  </c:pt>
                  <c:pt idx="275">
                    <c:v>22:55:00</c:v>
                  </c:pt>
                  <c:pt idx="276">
                    <c:v>22:56:00</c:v>
                  </c:pt>
                  <c:pt idx="277">
                    <c:v>22:59:00</c:v>
                  </c:pt>
                  <c:pt idx="278">
                    <c:v>23:19:00</c:v>
                  </c:pt>
                  <c:pt idx="279">
                    <c:v>23:20:00</c:v>
                  </c:pt>
                  <c:pt idx="280">
                    <c:v>23:21:00</c:v>
                  </c:pt>
                  <c:pt idx="281">
                    <c:v>23:22:00</c:v>
                  </c:pt>
                  <c:pt idx="282">
                    <c:v>23:33:00</c:v>
                  </c:pt>
                  <c:pt idx="283">
                    <c:v>23:34:00</c:v>
                  </c:pt>
                  <c:pt idx="284">
                    <c:v>23:38:00</c:v>
                  </c:pt>
                  <c:pt idx="285">
                    <c:v>23:40:00</c:v>
                  </c:pt>
                  <c:pt idx="286">
                    <c:v>23:41:00</c:v>
                  </c:pt>
                  <c:pt idx="287">
                    <c:v>23:43:00</c:v>
                  </c:pt>
                  <c:pt idx="288">
                    <c:v>23:45:00</c:v>
                  </c:pt>
                  <c:pt idx="289">
                    <c:v>23:47:00</c:v>
                  </c:pt>
                  <c:pt idx="290">
                    <c:v>23:49:00</c:v>
                  </c:pt>
                  <c:pt idx="291">
                    <c:v>23:51:00</c:v>
                  </c:pt>
                  <c:pt idx="292">
                    <c:v>23:52:00</c:v>
                  </c:pt>
                  <c:pt idx="293">
                    <c:v>23:55:00</c:v>
                  </c:pt>
                  <c:pt idx="294">
                    <c:v>00:06:00</c:v>
                  </c:pt>
                  <c:pt idx="295">
                    <c:v>00:10:00</c:v>
                  </c:pt>
                  <c:pt idx="296">
                    <c:v>00:15:00</c:v>
                  </c:pt>
                  <c:pt idx="297">
                    <c:v>00:16:00</c:v>
                  </c:pt>
                  <c:pt idx="298">
                    <c:v>00:19:00</c:v>
                  </c:pt>
                  <c:pt idx="299">
                    <c:v>00:20:00</c:v>
                  </c:pt>
                  <c:pt idx="300">
                    <c:v>00:26:00</c:v>
                  </c:pt>
                  <c:pt idx="301">
                    <c:v>00:30:00</c:v>
                  </c:pt>
                  <c:pt idx="302">
                    <c:v>00:31:00</c:v>
                  </c:pt>
                  <c:pt idx="303">
                    <c:v>00:33:00</c:v>
                  </c:pt>
                  <c:pt idx="304">
                    <c:v>00:35:00</c:v>
                  </c:pt>
                  <c:pt idx="305">
                    <c:v>00:36:00</c:v>
                  </c:pt>
                  <c:pt idx="306">
                    <c:v>00:37:00</c:v>
                  </c:pt>
                  <c:pt idx="307">
                    <c:v>00:39:00</c:v>
                  </c:pt>
                  <c:pt idx="308">
                    <c:v>00:40:00</c:v>
                  </c:pt>
                  <c:pt idx="309">
                    <c:v>00:47:00</c:v>
                  </c:pt>
                  <c:pt idx="310">
                    <c:v>01:02:00</c:v>
                  </c:pt>
                  <c:pt idx="311">
                    <c:v>01:05:00</c:v>
                  </c:pt>
                  <c:pt idx="312">
                    <c:v>01:07:00</c:v>
                  </c:pt>
                  <c:pt idx="313">
                    <c:v>01:08:00</c:v>
                  </c:pt>
                  <c:pt idx="314">
                    <c:v>01:13:00</c:v>
                  </c:pt>
                  <c:pt idx="315">
                    <c:v>01:15:00</c:v>
                  </c:pt>
                  <c:pt idx="316">
                    <c:v>01:16:00</c:v>
                  </c:pt>
                  <c:pt idx="317">
                    <c:v>01:18:00</c:v>
                  </c:pt>
                  <c:pt idx="318">
                    <c:v>01:21:00</c:v>
                  </c:pt>
                  <c:pt idx="319">
                    <c:v>01:23:00</c:v>
                  </c:pt>
                  <c:pt idx="320">
                    <c:v>01:26:00</c:v>
                  </c:pt>
                  <c:pt idx="321">
                    <c:v>01:32:00</c:v>
                  </c:pt>
                  <c:pt idx="322">
                    <c:v>01:33:00</c:v>
                  </c:pt>
                  <c:pt idx="323">
                    <c:v>01:36:00</c:v>
                  </c:pt>
                  <c:pt idx="324">
                    <c:v>01:42:00</c:v>
                  </c:pt>
                  <c:pt idx="325">
                    <c:v>01:48:00</c:v>
                  </c:pt>
                  <c:pt idx="326">
                    <c:v>01:49:00</c:v>
                  </c:pt>
                  <c:pt idx="327">
                    <c:v>01:56:00</c:v>
                  </c:pt>
                  <c:pt idx="328">
                    <c:v>02:00:00</c:v>
                  </c:pt>
                  <c:pt idx="329">
                    <c:v>02:02:00</c:v>
                  </c:pt>
                  <c:pt idx="330">
                    <c:v>02:04:00</c:v>
                  </c:pt>
                  <c:pt idx="331">
                    <c:v>02:05:00</c:v>
                  </c:pt>
                  <c:pt idx="332">
                    <c:v>02:06:00</c:v>
                  </c:pt>
                  <c:pt idx="333">
                    <c:v>02:08:00</c:v>
                  </c:pt>
                  <c:pt idx="334">
                    <c:v>02:09:00</c:v>
                  </c:pt>
                  <c:pt idx="335">
                    <c:v>02:15:00</c:v>
                  </c:pt>
                  <c:pt idx="336">
                    <c:v>02:17:00</c:v>
                  </c:pt>
                  <c:pt idx="337">
                    <c:v>02:20:00</c:v>
                  </c:pt>
                  <c:pt idx="338">
                    <c:v>02:27:00</c:v>
                  </c:pt>
                  <c:pt idx="339">
                    <c:v>02:28:00</c:v>
                  </c:pt>
                  <c:pt idx="340">
                    <c:v>02:30:00</c:v>
                  </c:pt>
                  <c:pt idx="341">
                    <c:v>02:33:00</c:v>
                  </c:pt>
                  <c:pt idx="342">
                    <c:v>02:34:00</c:v>
                  </c:pt>
                  <c:pt idx="343">
                    <c:v>02:37:00</c:v>
                  </c:pt>
                  <c:pt idx="344">
                    <c:v>02:43:00</c:v>
                  </c:pt>
                  <c:pt idx="345">
                    <c:v>02:52:00</c:v>
                  </c:pt>
                  <c:pt idx="346">
                    <c:v>02:54:00</c:v>
                  </c:pt>
                  <c:pt idx="347">
                    <c:v>02:55:00</c:v>
                  </c:pt>
                  <c:pt idx="348">
                    <c:v>03:03:00</c:v>
                  </c:pt>
                  <c:pt idx="349">
                    <c:v>03:05:00</c:v>
                  </c:pt>
                  <c:pt idx="350">
                    <c:v>03:08:00</c:v>
                  </c:pt>
                  <c:pt idx="351">
                    <c:v>03:16:00</c:v>
                  </c:pt>
                  <c:pt idx="352">
                    <c:v>03:17:00</c:v>
                  </c:pt>
                  <c:pt idx="353">
                    <c:v>03:18:00</c:v>
                  </c:pt>
                  <c:pt idx="354">
                    <c:v>03:22:00</c:v>
                  </c:pt>
                  <c:pt idx="355">
                    <c:v>03:27:00</c:v>
                  </c:pt>
                  <c:pt idx="356">
                    <c:v>03:32:00</c:v>
                  </c:pt>
                  <c:pt idx="357">
                    <c:v>03:33:00</c:v>
                  </c:pt>
                  <c:pt idx="358">
                    <c:v>03:35:00</c:v>
                  </c:pt>
                  <c:pt idx="359">
                    <c:v>03:44:00</c:v>
                  </c:pt>
                  <c:pt idx="360">
                    <c:v>03:51:00</c:v>
                  </c:pt>
                  <c:pt idx="361">
                    <c:v>03:53:00</c:v>
                  </c:pt>
                  <c:pt idx="362">
                    <c:v>03:56:00</c:v>
                  </c:pt>
                  <c:pt idx="363">
                    <c:v>03:57:00</c:v>
                  </c:pt>
                  <c:pt idx="364">
                    <c:v>03:58:00</c:v>
                  </c:pt>
                  <c:pt idx="365">
                    <c:v>04:02:00</c:v>
                  </c:pt>
                  <c:pt idx="366">
                    <c:v>04:05:00</c:v>
                  </c:pt>
                  <c:pt idx="367">
                    <c:v>04:11:00</c:v>
                  </c:pt>
                  <c:pt idx="368">
                    <c:v>04:20:00</c:v>
                  </c:pt>
                  <c:pt idx="369">
                    <c:v>04:22:00</c:v>
                  </c:pt>
                  <c:pt idx="370">
                    <c:v>04:26:00</c:v>
                  </c:pt>
                  <c:pt idx="371">
                    <c:v>04:27:00</c:v>
                  </c:pt>
                  <c:pt idx="372">
                    <c:v>04:30:00</c:v>
                  </c:pt>
                  <c:pt idx="373">
                    <c:v>04:37:00</c:v>
                  </c:pt>
                  <c:pt idx="374">
                    <c:v>04:47:00</c:v>
                  </c:pt>
                  <c:pt idx="375">
                    <c:v>04:52:00</c:v>
                  </c:pt>
                  <c:pt idx="376">
                    <c:v>05:00:00</c:v>
                  </c:pt>
                  <c:pt idx="377">
                    <c:v>05:01:00</c:v>
                  </c:pt>
                  <c:pt idx="378">
                    <c:v>05:02:00</c:v>
                  </c:pt>
                  <c:pt idx="379">
                    <c:v>05:03:00</c:v>
                  </c:pt>
                  <c:pt idx="380">
                    <c:v>05:08:00</c:v>
                  </c:pt>
                  <c:pt idx="381">
                    <c:v>05:14:00</c:v>
                  </c:pt>
                  <c:pt idx="382">
                    <c:v>05:18:00</c:v>
                  </c:pt>
                  <c:pt idx="383">
                    <c:v>05:19:00</c:v>
                  </c:pt>
                  <c:pt idx="384">
                    <c:v>05:21:00</c:v>
                  </c:pt>
                  <c:pt idx="385">
                    <c:v>05:22:00</c:v>
                  </c:pt>
                  <c:pt idx="386">
                    <c:v>05:24:00</c:v>
                  </c:pt>
                  <c:pt idx="387">
                    <c:v>05:31:00</c:v>
                  </c:pt>
                  <c:pt idx="388">
                    <c:v>05:34:00</c:v>
                  </c:pt>
                  <c:pt idx="389">
                    <c:v>05:38:00</c:v>
                  </c:pt>
                  <c:pt idx="390">
                    <c:v>05:39:00</c:v>
                  </c:pt>
                  <c:pt idx="391">
                    <c:v>05:45:00</c:v>
                  </c:pt>
                  <c:pt idx="392">
                    <c:v>05:47:00</c:v>
                  </c:pt>
                  <c:pt idx="393">
                    <c:v>05:51:00</c:v>
                  </c:pt>
                  <c:pt idx="394">
                    <c:v>05:55:00</c:v>
                  </c:pt>
                  <c:pt idx="395">
                    <c:v>06:09:00</c:v>
                  </c:pt>
                  <c:pt idx="396">
                    <c:v>06:15:00</c:v>
                  </c:pt>
                  <c:pt idx="397">
                    <c:v>06:16:00</c:v>
                  </c:pt>
                  <c:pt idx="398">
                    <c:v>06:21:00</c:v>
                  </c:pt>
                  <c:pt idx="399">
                    <c:v>06:23:00</c:v>
                  </c:pt>
                  <c:pt idx="400">
                    <c:v>06:24:00</c:v>
                  </c:pt>
                  <c:pt idx="401">
                    <c:v>06:26:00</c:v>
                  </c:pt>
                  <c:pt idx="402">
                    <c:v>06:27:00</c:v>
                  </c:pt>
                  <c:pt idx="403">
                    <c:v>06:34:00</c:v>
                  </c:pt>
                  <c:pt idx="404">
                    <c:v>06:36:00</c:v>
                  </c:pt>
                  <c:pt idx="405">
                    <c:v>06:37:00</c:v>
                  </c:pt>
                  <c:pt idx="406">
                    <c:v>06:43:00</c:v>
                  </c:pt>
                  <c:pt idx="407">
                    <c:v>06:50:00</c:v>
                  </c:pt>
                  <c:pt idx="408">
                    <c:v>06:53:00</c:v>
                  </c:pt>
                  <c:pt idx="409">
                    <c:v>06:57:00</c:v>
                  </c:pt>
                  <c:pt idx="410">
                    <c:v>07:00:00</c:v>
                  </c:pt>
                  <c:pt idx="411">
                    <c:v>07:06:00</c:v>
                  </c:pt>
                  <c:pt idx="412">
                    <c:v>07:08:00</c:v>
                  </c:pt>
                  <c:pt idx="413">
                    <c:v>07:12:00</c:v>
                  </c:pt>
                  <c:pt idx="414">
                    <c:v>07:16:00</c:v>
                  </c:pt>
                  <c:pt idx="415">
                    <c:v>07:17:00</c:v>
                  </c:pt>
                  <c:pt idx="416">
                    <c:v>07:20:00</c:v>
                  </c:pt>
                  <c:pt idx="417">
                    <c:v>07:21:00</c:v>
                  </c:pt>
                  <c:pt idx="418">
                    <c:v>07:29:00</c:v>
                  </c:pt>
                  <c:pt idx="419">
                    <c:v>07:42:00</c:v>
                  </c:pt>
                  <c:pt idx="420">
                    <c:v>07:44:00</c:v>
                  </c:pt>
                  <c:pt idx="421">
                    <c:v>07:48:00</c:v>
                  </c:pt>
                  <c:pt idx="422">
                    <c:v>07:49:00</c:v>
                  </c:pt>
                  <c:pt idx="423">
                    <c:v>07:52:00</c:v>
                  </c:pt>
                  <c:pt idx="424">
                    <c:v>07:55:00</c:v>
                  </c:pt>
                  <c:pt idx="425">
                    <c:v>07:57:00</c:v>
                  </c:pt>
                  <c:pt idx="426">
                    <c:v>07:59:00</c:v>
                  </c:pt>
                </c:lvl>
                <c:lvl>
                  <c:pt idx="0">
                    <c:v>2024-07-26</c:v>
                  </c:pt>
                  <c:pt idx="294">
                    <c:v>2024-07-27</c:v>
                  </c:pt>
                </c:lvl>
              </c:multiLvlStrCache>
            </c:multiLvlStrRef>
          </c:cat>
          <c:val>
            <c:numRef>
              <c:f>0</c:f>
              <c:numCache>
                <c:formatCode>General</c:formatCode>
                <c:ptCount val="42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8">
                  <c:v>1</c:v>
                </c:pt>
                <c:pt idx="10">
                  <c:v>1</c:v>
                </c:pt>
                <c:pt idx="13">
                  <c:v>1</c:v>
                </c:pt>
                <c:pt idx="16">
                  <c:v>1</c:v>
                </c:pt>
                <c:pt idx="18">
                  <c:v>1</c:v>
                </c:pt>
                <c:pt idx="20">
                  <c:v>1</c:v>
                </c:pt>
                <c:pt idx="23">
                  <c:v>1</c:v>
                </c:pt>
                <c:pt idx="25">
                  <c:v>1</c:v>
                </c:pt>
                <c:pt idx="26">
                  <c:v>1</c:v>
                </c:pt>
                <c:pt idx="28">
                  <c:v>1</c:v>
                </c:pt>
                <c:pt idx="30">
                  <c:v>1</c:v>
                </c:pt>
                <c:pt idx="31">
                  <c:v>1</c:v>
                </c:pt>
                <c:pt idx="34">
                  <c:v>1</c:v>
                </c:pt>
                <c:pt idx="37">
                  <c:v>1</c:v>
                </c:pt>
                <c:pt idx="39">
                  <c:v>2</c:v>
                </c:pt>
                <c:pt idx="44">
                  <c:v>1</c:v>
                </c:pt>
                <c:pt idx="45">
                  <c:v>1</c:v>
                </c:pt>
                <c:pt idx="47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5">
                  <c:v>1</c:v>
                </c:pt>
                <c:pt idx="57">
                  <c:v>1</c:v>
                </c:pt>
                <c:pt idx="58">
                  <c:v>1</c:v>
                </c:pt>
                <c:pt idx="65">
                  <c:v>1</c:v>
                </c:pt>
                <c:pt idx="66">
                  <c:v>1</c:v>
                </c:pt>
                <c:pt idx="69">
                  <c:v>1</c:v>
                </c:pt>
                <c:pt idx="71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81">
                  <c:v>1</c:v>
                </c:pt>
                <c:pt idx="82">
                  <c:v>1</c:v>
                </c:pt>
                <c:pt idx="85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6">
                  <c:v>1</c:v>
                </c:pt>
                <c:pt idx="97">
                  <c:v>1</c:v>
                </c:pt>
                <c:pt idx="100">
                  <c:v>1</c:v>
                </c:pt>
                <c:pt idx="103">
                  <c:v>1</c:v>
                </c:pt>
                <c:pt idx="106">
                  <c:v>1</c:v>
                </c:pt>
                <c:pt idx="107">
                  <c:v>1</c:v>
                </c:pt>
                <c:pt idx="109">
                  <c:v>1</c:v>
                </c:pt>
                <c:pt idx="110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1">
                  <c:v>1</c:v>
                </c:pt>
                <c:pt idx="123">
                  <c:v>1</c:v>
                </c:pt>
                <c:pt idx="125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41">
                  <c:v>1</c:v>
                </c:pt>
                <c:pt idx="142">
                  <c:v>1</c:v>
                </c:pt>
                <c:pt idx="145">
                  <c:v>1</c:v>
                </c:pt>
                <c:pt idx="151">
                  <c:v>1</c:v>
                </c:pt>
                <c:pt idx="153">
                  <c:v>1</c:v>
                </c:pt>
                <c:pt idx="155">
                  <c:v>1</c:v>
                </c:pt>
                <c:pt idx="157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4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5">
                  <c:v>1</c:v>
                </c:pt>
                <c:pt idx="177">
                  <c:v>3</c:v>
                </c:pt>
                <c:pt idx="178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4">
                  <c:v>1</c:v>
                </c:pt>
                <c:pt idx="185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2</c:v>
                </c:pt>
                <c:pt idx="199">
                  <c:v>2</c:v>
                </c:pt>
                <c:pt idx="201">
                  <c:v>1</c:v>
                </c:pt>
                <c:pt idx="203">
                  <c:v>1</c:v>
                </c:pt>
                <c:pt idx="205">
                  <c:v>1</c:v>
                </c:pt>
                <c:pt idx="207">
                  <c:v>1</c:v>
                </c:pt>
                <c:pt idx="214">
                  <c:v>1</c:v>
                </c:pt>
                <c:pt idx="217">
                  <c:v>2</c:v>
                </c:pt>
                <c:pt idx="219">
                  <c:v>1</c:v>
                </c:pt>
                <c:pt idx="221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3">
                  <c:v>1</c:v>
                </c:pt>
                <c:pt idx="236">
                  <c:v>1</c:v>
                </c:pt>
                <c:pt idx="240">
                  <c:v>1</c:v>
                </c:pt>
                <c:pt idx="243">
                  <c:v>1</c:v>
                </c:pt>
                <c:pt idx="244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2">
                  <c:v>1</c:v>
                </c:pt>
                <c:pt idx="254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6">
                  <c:v>1</c:v>
                </c:pt>
                <c:pt idx="267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5">
                  <c:v>1</c:v>
                </c:pt>
                <c:pt idx="278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2</c:v>
                </c:pt>
                <c:pt idx="290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4">
                  <c:v>1</c:v>
                </c:pt>
                <c:pt idx="305">
                  <c:v>1</c:v>
                </c:pt>
                <c:pt idx="309">
                  <c:v>1</c:v>
                </c:pt>
                <c:pt idx="313">
                  <c:v>1</c:v>
                </c:pt>
                <c:pt idx="314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20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2</c:v>
                </c:pt>
                <c:pt idx="329">
                  <c:v>1</c:v>
                </c:pt>
                <c:pt idx="330">
                  <c:v>1</c:v>
                </c:pt>
                <c:pt idx="334">
                  <c:v>1</c:v>
                </c:pt>
                <c:pt idx="336">
                  <c:v>1</c:v>
                </c:pt>
                <c:pt idx="339">
                  <c:v>1</c:v>
                </c:pt>
                <c:pt idx="340">
                  <c:v>1</c:v>
                </c:pt>
                <c:pt idx="342">
                  <c:v>1</c:v>
                </c:pt>
                <c:pt idx="345">
                  <c:v>2</c:v>
                </c:pt>
                <c:pt idx="346">
                  <c:v>1</c:v>
                </c:pt>
                <c:pt idx="350">
                  <c:v>1</c:v>
                </c:pt>
                <c:pt idx="351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8">
                  <c:v>1</c:v>
                </c:pt>
                <c:pt idx="359">
                  <c:v>1</c:v>
                </c:pt>
                <c:pt idx="362">
                  <c:v>1</c:v>
                </c:pt>
                <c:pt idx="364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3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4">
                  <c:v>2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5">
                  <c:v>1</c:v>
                </c:pt>
                <c:pt idx="387">
                  <c:v>1</c:v>
                </c:pt>
                <c:pt idx="390">
                  <c:v>1</c:v>
                </c:pt>
                <c:pt idx="391">
                  <c:v>2</c:v>
                </c:pt>
                <c:pt idx="392">
                  <c:v>1</c:v>
                </c:pt>
                <c:pt idx="394">
                  <c:v>1</c:v>
                </c:pt>
                <c:pt idx="395">
                  <c:v>1</c:v>
                </c:pt>
                <c:pt idx="397">
                  <c:v>1</c:v>
                </c:pt>
                <c:pt idx="398">
                  <c:v>1</c:v>
                </c:pt>
                <c:pt idx="400">
                  <c:v>1</c:v>
                </c:pt>
                <c:pt idx="409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7">
                  <c:v>1</c:v>
                </c:pt>
                <c:pt idx="419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5">
                  <c:v>1</c:v>
                </c:pt>
                <c:pt idx="426">
                  <c:v>1</c:v>
                </c:pt>
              </c:numCache>
            </c:numRef>
          </c:val>
        </c:ser>
        <c:ser>
          <c:idx val="1"/>
          <c:order val="1"/>
          <c:tx>
            <c:strRef>
              <c:f>label 1</c:f>
              <c:strCache>
                <c:ptCount val="1"/>
                <c:pt idx="0">
                  <c:v>Blocked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categories</c:f>
              <c:multiLvlStrCache>
                <c:ptCount val="427"/>
                <c:lvl>
                  <c:pt idx="0">
                    <c:v>08:00:00</c:v>
                  </c:pt>
                  <c:pt idx="1">
                    <c:v>08:03:00</c:v>
                  </c:pt>
                  <c:pt idx="2">
                    <c:v>08:07:00</c:v>
                  </c:pt>
                  <c:pt idx="3">
                    <c:v>08:10:00</c:v>
                  </c:pt>
                  <c:pt idx="4">
                    <c:v>08:16:00</c:v>
                  </c:pt>
                  <c:pt idx="5">
                    <c:v>08:22:00</c:v>
                  </c:pt>
                  <c:pt idx="6">
                    <c:v>08:23:00</c:v>
                  </c:pt>
                  <c:pt idx="7">
                    <c:v>08:29:00</c:v>
                  </c:pt>
                  <c:pt idx="8">
                    <c:v>08:35:00</c:v>
                  </c:pt>
                  <c:pt idx="9">
                    <c:v>08:36:00</c:v>
                  </c:pt>
                  <c:pt idx="10">
                    <c:v>08:43:00</c:v>
                  </c:pt>
                  <c:pt idx="11">
                    <c:v>08:51:00</c:v>
                  </c:pt>
                  <c:pt idx="12">
                    <c:v>08:54:00</c:v>
                  </c:pt>
                  <c:pt idx="13">
                    <c:v>08:55:00</c:v>
                  </c:pt>
                  <c:pt idx="14">
                    <c:v>08:57:00</c:v>
                  </c:pt>
                  <c:pt idx="15">
                    <c:v>08:58:00</c:v>
                  </c:pt>
                  <c:pt idx="16">
                    <c:v>09:04:00</c:v>
                  </c:pt>
                  <c:pt idx="17">
                    <c:v>09:06:00</c:v>
                  </c:pt>
                  <c:pt idx="18">
                    <c:v>09:16:00</c:v>
                  </c:pt>
                  <c:pt idx="19">
                    <c:v>09:22:00</c:v>
                  </c:pt>
                  <c:pt idx="20">
                    <c:v>09:24:00</c:v>
                  </c:pt>
                  <c:pt idx="21">
                    <c:v>09:25:00</c:v>
                  </c:pt>
                  <c:pt idx="22">
                    <c:v>09:28:00</c:v>
                  </c:pt>
                  <c:pt idx="23">
                    <c:v>09:31:00</c:v>
                  </c:pt>
                  <c:pt idx="24">
                    <c:v>09:33:00</c:v>
                  </c:pt>
                  <c:pt idx="25">
                    <c:v>09:35:00</c:v>
                  </c:pt>
                  <c:pt idx="26">
                    <c:v>09:41:00</c:v>
                  </c:pt>
                  <c:pt idx="27">
                    <c:v>09:56:00</c:v>
                  </c:pt>
                  <c:pt idx="28">
                    <c:v>09:57:00</c:v>
                  </c:pt>
                  <c:pt idx="29">
                    <c:v>10:01:00</c:v>
                  </c:pt>
                  <c:pt idx="30">
                    <c:v>10:02:00</c:v>
                  </c:pt>
                  <c:pt idx="31">
                    <c:v>10:06:00</c:v>
                  </c:pt>
                  <c:pt idx="32">
                    <c:v>10:09:00</c:v>
                  </c:pt>
                  <c:pt idx="33">
                    <c:v>10:13:00</c:v>
                  </c:pt>
                  <c:pt idx="34">
                    <c:v>10:16:00</c:v>
                  </c:pt>
                  <c:pt idx="35">
                    <c:v>10:19:00</c:v>
                  </c:pt>
                  <c:pt idx="36">
                    <c:v>10:21:00</c:v>
                  </c:pt>
                  <c:pt idx="37">
                    <c:v>10:22:00</c:v>
                  </c:pt>
                  <c:pt idx="38">
                    <c:v>10:24:00</c:v>
                  </c:pt>
                  <c:pt idx="39">
                    <c:v>10:25:00</c:v>
                  </c:pt>
                  <c:pt idx="40">
                    <c:v>10:26:00</c:v>
                  </c:pt>
                  <c:pt idx="41">
                    <c:v>10:30:00</c:v>
                  </c:pt>
                  <c:pt idx="42">
                    <c:v>10:38:00</c:v>
                  </c:pt>
                  <c:pt idx="43">
                    <c:v>10:39:00</c:v>
                  </c:pt>
                  <c:pt idx="44">
                    <c:v>10:40:00</c:v>
                  </c:pt>
                  <c:pt idx="45">
                    <c:v>10:41:00</c:v>
                  </c:pt>
                  <c:pt idx="46">
                    <c:v>10:43:00</c:v>
                  </c:pt>
                  <c:pt idx="47">
                    <c:v>10:45:00</c:v>
                  </c:pt>
                  <c:pt idx="48">
                    <c:v>10:47:00</c:v>
                  </c:pt>
                  <c:pt idx="49">
                    <c:v>10:53:00</c:v>
                  </c:pt>
                  <c:pt idx="50">
                    <c:v>10:54:00</c:v>
                  </c:pt>
                  <c:pt idx="51">
                    <c:v>10:57:00</c:v>
                  </c:pt>
                  <c:pt idx="52">
                    <c:v>11:00:00</c:v>
                  </c:pt>
                  <c:pt idx="53">
                    <c:v>11:05:00</c:v>
                  </c:pt>
                  <c:pt idx="54">
                    <c:v>11:15:00</c:v>
                  </c:pt>
                  <c:pt idx="55">
                    <c:v>11:16:00</c:v>
                  </c:pt>
                  <c:pt idx="56">
                    <c:v>11:20:00</c:v>
                  </c:pt>
                  <c:pt idx="57">
                    <c:v>11:23:00</c:v>
                  </c:pt>
                  <c:pt idx="58">
                    <c:v>11:25:00</c:v>
                  </c:pt>
                  <c:pt idx="59">
                    <c:v>11:26:00</c:v>
                  </c:pt>
                  <c:pt idx="60">
                    <c:v>11:30:00</c:v>
                  </c:pt>
                  <c:pt idx="61">
                    <c:v>11:31:00</c:v>
                  </c:pt>
                  <c:pt idx="62">
                    <c:v>11:33:00</c:v>
                  </c:pt>
                  <c:pt idx="63">
                    <c:v>11:34:00</c:v>
                  </c:pt>
                  <c:pt idx="64">
                    <c:v>11:37:00</c:v>
                  </c:pt>
                  <c:pt idx="65">
                    <c:v>11:46:00</c:v>
                  </c:pt>
                  <c:pt idx="66">
                    <c:v>11:53:00</c:v>
                  </c:pt>
                  <c:pt idx="67">
                    <c:v>11:54:00</c:v>
                  </c:pt>
                  <c:pt idx="68">
                    <c:v>11:55:00</c:v>
                  </c:pt>
                  <c:pt idx="69">
                    <c:v>11:57:00</c:v>
                  </c:pt>
                  <c:pt idx="70">
                    <c:v>11:58:00</c:v>
                  </c:pt>
                  <c:pt idx="71">
                    <c:v>12:00:00</c:v>
                  </c:pt>
                  <c:pt idx="72">
                    <c:v>12:03:00</c:v>
                  </c:pt>
                  <c:pt idx="73">
                    <c:v>12:05:00</c:v>
                  </c:pt>
                  <c:pt idx="74">
                    <c:v>12:07:00</c:v>
                  </c:pt>
                  <c:pt idx="75">
                    <c:v>12:08:00</c:v>
                  </c:pt>
                  <c:pt idx="76">
                    <c:v>12:10:00</c:v>
                  </c:pt>
                  <c:pt idx="77">
                    <c:v>12:12:00</c:v>
                  </c:pt>
                  <c:pt idx="78">
                    <c:v>12:14:00</c:v>
                  </c:pt>
                  <c:pt idx="79">
                    <c:v>12:22:00</c:v>
                  </c:pt>
                  <c:pt idx="80">
                    <c:v>12:25:00</c:v>
                  </c:pt>
                  <c:pt idx="81">
                    <c:v>12:26:00</c:v>
                  </c:pt>
                  <c:pt idx="82">
                    <c:v>12:27:00</c:v>
                  </c:pt>
                  <c:pt idx="83">
                    <c:v>12:28:00</c:v>
                  </c:pt>
                  <c:pt idx="84">
                    <c:v>12:32:00</c:v>
                  </c:pt>
                  <c:pt idx="85">
                    <c:v>12:33:00</c:v>
                  </c:pt>
                  <c:pt idx="86">
                    <c:v>12:42:00</c:v>
                  </c:pt>
                  <c:pt idx="87">
                    <c:v>12:48:00</c:v>
                  </c:pt>
                  <c:pt idx="88">
                    <c:v>12:54:00</c:v>
                  </c:pt>
                  <c:pt idx="89">
                    <c:v>13:04:00</c:v>
                  </c:pt>
                  <c:pt idx="90">
                    <c:v>13:05:00</c:v>
                  </c:pt>
                  <c:pt idx="91">
                    <c:v>13:12:00</c:v>
                  </c:pt>
                  <c:pt idx="92">
                    <c:v>13:17:00</c:v>
                  </c:pt>
                  <c:pt idx="93">
                    <c:v>13:18:00</c:v>
                  </c:pt>
                  <c:pt idx="94">
                    <c:v>13:21:00</c:v>
                  </c:pt>
                  <c:pt idx="95">
                    <c:v>13:22:00</c:v>
                  </c:pt>
                  <c:pt idx="96">
                    <c:v>13:25:00</c:v>
                  </c:pt>
                  <c:pt idx="97">
                    <c:v>13:26:00</c:v>
                  </c:pt>
                  <c:pt idx="98">
                    <c:v>13:28:00</c:v>
                  </c:pt>
                  <c:pt idx="99">
                    <c:v>13:29:00</c:v>
                  </c:pt>
                  <c:pt idx="100">
                    <c:v>13:33:00</c:v>
                  </c:pt>
                  <c:pt idx="101">
                    <c:v>13:37:00</c:v>
                  </c:pt>
                  <c:pt idx="102">
                    <c:v>13:38:00</c:v>
                  </c:pt>
                  <c:pt idx="103">
                    <c:v>13:41:00</c:v>
                  </c:pt>
                  <c:pt idx="104">
                    <c:v>13:43:00</c:v>
                  </c:pt>
                  <c:pt idx="105">
                    <c:v>13:51:00</c:v>
                  </c:pt>
                  <c:pt idx="106">
                    <c:v>13:55:00</c:v>
                  </c:pt>
                  <c:pt idx="107">
                    <c:v>13:57:00</c:v>
                  </c:pt>
                  <c:pt idx="108">
                    <c:v>14:00:00</c:v>
                  </c:pt>
                  <c:pt idx="109">
                    <c:v>14:04:00</c:v>
                  </c:pt>
                  <c:pt idx="110">
                    <c:v>14:08:00</c:v>
                  </c:pt>
                  <c:pt idx="111">
                    <c:v>14:09:00</c:v>
                  </c:pt>
                  <c:pt idx="112">
                    <c:v>14:11:00</c:v>
                  </c:pt>
                  <c:pt idx="113">
                    <c:v>14:15:00</c:v>
                  </c:pt>
                  <c:pt idx="114">
                    <c:v>14:20:00</c:v>
                  </c:pt>
                  <c:pt idx="115">
                    <c:v>14:23:00</c:v>
                  </c:pt>
                  <c:pt idx="116">
                    <c:v>14:30:00</c:v>
                  </c:pt>
                  <c:pt idx="117">
                    <c:v>14:33:00</c:v>
                  </c:pt>
                  <c:pt idx="118">
                    <c:v>14:34:00</c:v>
                  </c:pt>
                  <c:pt idx="119">
                    <c:v>14:36:00</c:v>
                  </c:pt>
                  <c:pt idx="120">
                    <c:v>14:39:00</c:v>
                  </c:pt>
                  <c:pt idx="121">
                    <c:v>14:47:00</c:v>
                  </c:pt>
                  <c:pt idx="122">
                    <c:v>14:49:00</c:v>
                  </c:pt>
                  <c:pt idx="123">
                    <c:v>14:50:00</c:v>
                  </c:pt>
                  <c:pt idx="124">
                    <c:v>14:54:00</c:v>
                  </c:pt>
                  <c:pt idx="125">
                    <c:v>14:55:00</c:v>
                  </c:pt>
                  <c:pt idx="126">
                    <c:v>14:57:00</c:v>
                  </c:pt>
                  <c:pt idx="127">
                    <c:v>14:58:00</c:v>
                  </c:pt>
                  <c:pt idx="128">
                    <c:v>14:59:00</c:v>
                  </c:pt>
                  <c:pt idx="129">
                    <c:v>15:00:00</c:v>
                  </c:pt>
                  <c:pt idx="130">
                    <c:v>15:01:00</c:v>
                  </c:pt>
                  <c:pt idx="131">
                    <c:v>15:03:00</c:v>
                  </c:pt>
                  <c:pt idx="132">
                    <c:v>15:04:00</c:v>
                  </c:pt>
                  <c:pt idx="133">
                    <c:v>15:08:00</c:v>
                  </c:pt>
                  <c:pt idx="134">
                    <c:v>15:10:00</c:v>
                  </c:pt>
                  <c:pt idx="135">
                    <c:v>15:12:00</c:v>
                  </c:pt>
                  <c:pt idx="136">
                    <c:v>15:15:00</c:v>
                  </c:pt>
                  <c:pt idx="137">
                    <c:v>15:17:00</c:v>
                  </c:pt>
                  <c:pt idx="138">
                    <c:v>15:20:00</c:v>
                  </c:pt>
                  <c:pt idx="139">
                    <c:v>15:21:00</c:v>
                  </c:pt>
                  <c:pt idx="140">
                    <c:v>15:23:00</c:v>
                  </c:pt>
                  <c:pt idx="141">
                    <c:v>15:26:00</c:v>
                  </c:pt>
                  <c:pt idx="142">
                    <c:v>15:29:00</c:v>
                  </c:pt>
                  <c:pt idx="143">
                    <c:v>15:33:00</c:v>
                  </c:pt>
                  <c:pt idx="144">
                    <c:v>15:38:00</c:v>
                  </c:pt>
                  <c:pt idx="145">
                    <c:v>15:41:00</c:v>
                  </c:pt>
                  <c:pt idx="146">
                    <c:v>15:43:00</c:v>
                  </c:pt>
                  <c:pt idx="147">
                    <c:v>15:46:00</c:v>
                  </c:pt>
                  <c:pt idx="148">
                    <c:v>15:47:00</c:v>
                  </c:pt>
                  <c:pt idx="149">
                    <c:v>15:55:00</c:v>
                  </c:pt>
                  <c:pt idx="150">
                    <c:v>15:57:00</c:v>
                  </c:pt>
                  <c:pt idx="151">
                    <c:v>16:02:00</c:v>
                  </c:pt>
                  <c:pt idx="152">
                    <c:v>16:03:00</c:v>
                  </c:pt>
                  <c:pt idx="153">
                    <c:v>16:04:00</c:v>
                  </c:pt>
                  <c:pt idx="154">
                    <c:v>16:07:00</c:v>
                  </c:pt>
                  <c:pt idx="155">
                    <c:v>16:10:00</c:v>
                  </c:pt>
                  <c:pt idx="156">
                    <c:v>16:12:00</c:v>
                  </c:pt>
                  <c:pt idx="157">
                    <c:v>16:13:00</c:v>
                  </c:pt>
                  <c:pt idx="158">
                    <c:v>16:14:00</c:v>
                  </c:pt>
                  <c:pt idx="159">
                    <c:v>16:20:00</c:v>
                  </c:pt>
                  <c:pt idx="160">
                    <c:v>16:24:00</c:v>
                  </c:pt>
                  <c:pt idx="161">
                    <c:v>16:28:00</c:v>
                  </c:pt>
                  <c:pt idx="162">
                    <c:v>16:30:00</c:v>
                  </c:pt>
                  <c:pt idx="163">
                    <c:v>16:31:00</c:v>
                  </c:pt>
                  <c:pt idx="164">
                    <c:v>16:36:00</c:v>
                  </c:pt>
                  <c:pt idx="165">
                    <c:v>16:40:00</c:v>
                  </c:pt>
                  <c:pt idx="166">
                    <c:v>16:42:00</c:v>
                  </c:pt>
                  <c:pt idx="167">
                    <c:v>16:43:00</c:v>
                  </c:pt>
                  <c:pt idx="168">
                    <c:v>16:46:00</c:v>
                  </c:pt>
                  <c:pt idx="169">
                    <c:v>16:52:00</c:v>
                  </c:pt>
                  <c:pt idx="170">
                    <c:v>16:54:00</c:v>
                  </c:pt>
                  <c:pt idx="171">
                    <c:v>16:59:00</c:v>
                  </c:pt>
                  <c:pt idx="172">
                    <c:v>17:01:00</c:v>
                  </c:pt>
                  <c:pt idx="173">
                    <c:v>17:02:00</c:v>
                  </c:pt>
                  <c:pt idx="174">
                    <c:v>17:03:00</c:v>
                  </c:pt>
                  <c:pt idx="175">
                    <c:v>17:07:00</c:v>
                  </c:pt>
                  <c:pt idx="176">
                    <c:v>17:12:00</c:v>
                  </c:pt>
                  <c:pt idx="177">
                    <c:v>17:13:00</c:v>
                  </c:pt>
                  <c:pt idx="178">
                    <c:v>17:17:00</c:v>
                  </c:pt>
                  <c:pt idx="179">
                    <c:v>17:21:00</c:v>
                  </c:pt>
                  <c:pt idx="180">
                    <c:v>17:22:00</c:v>
                  </c:pt>
                  <c:pt idx="181">
                    <c:v>17:47:00</c:v>
                  </c:pt>
                  <c:pt idx="182">
                    <c:v>17:48:00</c:v>
                  </c:pt>
                  <c:pt idx="183">
                    <c:v>17:49:00</c:v>
                  </c:pt>
                  <c:pt idx="184">
                    <c:v>17:50:00</c:v>
                  </c:pt>
                  <c:pt idx="185">
                    <c:v>17:55:00</c:v>
                  </c:pt>
                  <c:pt idx="186">
                    <c:v>18:04:00</c:v>
                  </c:pt>
                  <c:pt idx="187">
                    <c:v>18:12:00</c:v>
                  </c:pt>
                  <c:pt idx="188">
                    <c:v>18:14:00</c:v>
                  </c:pt>
                  <c:pt idx="189">
                    <c:v>18:16:00</c:v>
                  </c:pt>
                  <c:pt idx="190">
                    <c:v>18:17:00</c:v>
                  </c:pt>
                  <c:pt idx="191">
                    <c:v>18:25:00</c:v>
                  </c:pt>
                  <c:pt idx="192">
                    <c:v>18:27:00</c:v>
                  </c:pt>
                  <c:pt idx="193">
                    <c:v>18:33:00</c:v>
                  </c:pt>
                  <c:pt idx="194">
                    <c:v>18:41:00</c:v>
                  </c:pt>
                  <c:pt idx="195">
                    <c:v>18:45:00</c:v>
                  </c:pt>
                  <c:pt idx="196">
                    <c:v>18:49:00</c:v>
                  </c:pt>
                  <c:pt idx="197">
                    <c:v>18:50:00</c:v>
                  </c:pt>
                  <c:pt idx="198">
                    <c:v>18:51:00</c:v>
                  </c:pt>
                  <c:pt idx="199">
                    <c:v>18:52:00</c:v>
                  </c:pt>
                  <c:pt idx="200">
                    <c:v>18:53:00</c:v>
                  </c:pt>
                  <c:pt idx="201">
                    <c:v>18:54:00</c:v>
                  </c:pt>
                  <c:pt idx="202">
                    <c:v>18:56:00</c:v>
                  </c:pt>
                  <c:pt idx="203">
                    <c:v>18:58:00</c:v>
                  </c:pt>
                  <c:pt idx="204">
                    <c:v>19:03:00</c:v>
                  </c:pt>
                  <c:pt idx="205">
                    <c:v>19:04:00</c:v>
                  </c:pt>
                  <c:pt idx="206">
                    <c:v>19:06:00</c:v>
                  </c:pt>
                  <c:pt idx="207">
                    <c:v>19:07:00</c:v>
                  </c:pt>
                  <c:pt idx="208">
                    <c:v>19:13:00</c:v>
                  </c:pt>
                  <c:pt idx="209">
                    <c:v>19:14:00</c:v>
                  </c:pt>
                  <c:pt idx="210">
                    <c:v>19:15:00</c:v>
                  </c:pt>
                  <c:pt idx="211">
                    <c:v>19:22:00</c:v>
                  </c:pt>
                  <c:pt idx="212">
                    <c:v>19:23:00</c:v>
                  </c:pt>
                  <c:pt idx="213">
                    <c:v>19:24:00</c:v>
                  </c:pt>
                  <c:pt idx="214">
                    <c:v>19:26:00</c:v>
                  </c:pt>
                  <c:pt idx="215">
                    <c:v>19:29:00</c:v>
                  </c:pt>
                  <c:pt idx="216">
                    <c:v>19:31:00</c:v>
                  </c:pt>
                  <c:pt idx="217">
                    <c:v>19:33:00</c:v>
                  </c:pt>
                  <c:pt idx="218">
                    <c:v>19:36:00</c:v>
                  </c:pt>
                  <c:pt idx="219">
                    <c:v>19:38:00</c:v>
                  </c:pt>
                  <c:pt idx="220">
                    <c:v>19:40:00</c:v>
                  </c:pt>
                  <c:pt idx="221">
                    <c:v>19:42:00</c:v>
                  </c:pt>
                  <c:pt idx="222">
                    <c:v>19:45:00</c:v>
                  </c:pt>
                  <c:pt idx="223">
                    <c:v>19:55:00</c:v>
                  </c:pt>
                  <c:pt idx="224">
                    <c:v>19:57:00</c:v>
                  </c:pt>
                  <c:pt idx="225">
                    <c:v>19:59:00</c:v>
                  </c:pt>
                  <c:pt idx="226">
                    <c:v>20:00:00</c:v>
                  </c:pt>
                  <c:pt idx="227">
                    <c:v>20:05:00</c:v>
                  </c:pt>
                  <c:pt idx="228">
                    <c:v>20:08:00</c:v>
                  </c:pt>
                  <c:pt idx="229">
                    <c:v>20:09:00</c:v>
                  </c:pt>
                  <c:pt idx="230">
                    <c:v>20:11:00</c:v>
                  </c:pt>
                  <c:pt idx="231">
                    <c:v>20:12:00</c:v>
                  </c:pt>
                  <c:pt idx="232">
                    <c:v>20:20:00</c:v>
                  </c:pt>
                  <c:pt idx="233">
                    <c:v>20:22:00</c:v>
                  </c:pt>
                  <c:pt idx="234">
                    <c:v>20:25:00</c:v>
                  </c:pt>
                  <c:pt idx="235">
                    <c:v>20:26:00</c:v>
                  </c:pt>
                  <c:pt idx="236">
                    <c:v>20:27:00</c:v>
                  </c:pt>
                  <c:pt idx="237">
                    <c:v>20:28:00</c:v>
                  </c:pt>
                  <c:pt idx="238">
                    <c:v>20:30:00</c:v>
                  </c:pt>
                  <c:pt idx="239">
                    <c:v>20:36:00</c:v>
                  </c:pt>
                  <c:pt idx="240">
                    <c:v>20:40:00</c:v>
                  </c:pt>
                  <c:pt idx="241">
                    <c:v>20:41:00</c:v>
                  </c:pt>
                  <c:pt idx="242">
                    <c:v>20:42:00</c:v>
                  </c:pt>
                  <c:pt idx="243">
                    <c:v>20:44:00</c:v>
                  </c:pt>
                  <c:pt idx="244">
                    <c:v>20:50:00</c:v>
                  </c:pt>
                  <c:pt idx="245">
                    <c:v>20:51:00</c:v>
                  </c:pt>
                  <c:pt idx="246">
                    <c:v>20:53:00</c:v>
                  </c:pt>
                  <c:pt idx="247">
                    <c:v>20:54:00</c:v>
                  </c:pt>
                  <c:pt idx="248">
                    <c:v>21:00:00</c:v>
                  </c:pt>
                  <c:pt idx="249">
                    <c:v>21:02:00</c:v>
                  </c:pt>
                  <c:pt idx="250">
                    <c:v>21:06:00</c:v>
                  </c:pt>
                  <c:pt idx="251">
                    <c:v>21:14:00</c:v>
                  </c:pt>
                  <c:pt idx="252">
                    <c:v>21:17:00</c:v>
                  </c:pt>
                  <c:pt idx="253">
                    <c:v>21:20:00</c:v>
                  </c:pt>
                  <c:pt idx="254">
                    <c:v>21:23:00</c:v>
                  </c:pt>
                  <c:pt idx="255">
                    <c:v>21:26:00</c:v>
                  </c:pt>
                  <c:pt idx="256">
                    <c:v>21:38:00</c:v>
                  </c:pt>
                  <c:pt idx="257">
                    <c:v>21:40:00</c:v>
                  </c:pt>
                  <c:pt idx="258">
                    <c:v>21:49:00</c:v>
                  </c:pt>
                  <c:pt idx="259">
                    <c:v>21:53:00</c:v>
                  </c:pt>
                  <c:pt idx="260">
                    <c:v>21:56:00</c:v>
                  </c:pt>
                  <c:pt idx="261">
                    <c:v>21:58:00</c:v>
                  </c:pt>
                  <c:pt idx="262">
                    <c:v>22:04:00</c:v>
                  </c:pt>
                  <c:pt idx="263">
                    <c:v>22:06:00</c:v>
                  </c:pt>
                  <c:pt idx="264">
                    <c:v>22:08:00</c:v>
                  </c:pt>
                  <c:pt idx="265">
                    <c:v>22:09:00</c:v>
                  </c:pt>
                  <c:pt idx="266">
                    <c:v>22:24:00</c:v>
                  </c:pt>
                  <c:pt idx="267">
                    <c:v>22:26:00</c:v>
                  </c:pt>
                  <c:pt idx="268">
                    <c:v>22:28:00</c:v>
                  </c:pt>
                  <c:pt idx="269">
                    <c:v>22:29:00</c:v>
                  </c:pt>
                  <c:pt idx="270">
                    <c:v>22:30:00</c:v>
                  </c:pt>
                  <c:pt idx="271">
                    <c:v>22:32:00</c:v>
                  </c:pt>
                  <c:pt idx="272">
                    <c:v>22:39:00</c:v>
                  </c:pt>
                  <c:pt idx="273">
                    <c:v>22:50:00</c:v>
                  </c:pt>
                  <c:pt idx="274">
                    <c:v>22:53:00</c:v>
                  </c:pt>
                  <c:pt idx="275">
                    <c:v>22:55:00</c:v>
                  </c:pt>
                  <c:pt idx="276">
                    <c:v>22:56:00</c:v>
                  </c:pt>
                  <c:pt idx="277">
                    <c:v>22:59:00</c:v>
                  </c:pt>
                  <c:pt idx="278">
                    <c:v>23:19:00</c:v>
                  </c:pt>
                  <c:pt idx="279">
                    <c:v>23:20:00</c:v>
                  </c:pt>
                  <c:pt idx="280">
                    <c:v>23:21:00</c:v>
                  </c:pt>
                  <c:pt idx="281">
                    <c:v>23:22:00</c:v>
                  </c:pt>
                  <c:pt idx="282">
                    <c:v>23:33:00</c:v>
                  </c:pt>
                  <c:pt idx="283">
                    <c:v>23:34:00</c:v>
                  </c:pt>
                  <c:pt idx="284">
                    <c:v>23:38:00</c:v>
                  </c:pt>
                  <c:pt idx="285">
                    <c:v>23:40:00</c:v>
                  </c:pt>
                  <c:pt idx="286">
                    <c:v>23:41:00</c:v>
                  </c:pt>
                  <c:pt idx="287">
                    <c:v>23:43:00</c:v>
                  </c:pt>
                  <c:pt idx="288">
                    <c:v>23:45:00</c:v>
                  </c:pt>
                  <c:pt idx="289">
                    <c:v>23:47:00</c:v>
                  </c:pt>
                  <c:pt idx="290">
                    <c:v>23:49:00</c:v>
                  </c:pt>
                  <c:pt idx="291">
                    <c:v>23:51:00</c:v>
                  </c:pt>
                  <c:pt idx="292">
                    <c:v>23:52:00</c:v>
                  </c:pt>
                  <c:pt idx="293">
                    <c:v>23:55:00</c:v>
                  </c:pt>
                  <c:pt idx="294">
                    <c:v>00:06:00</c:v>
                  </c:pt>
                  <c:pt idx="295">
                    <c:v>00:10:00</c:v>
                  </c:pt>
                  <c:pt idx="296">
                    <c:v>00:15:00</c:v>
                  </c:pt>
                  <c:pt idx="297">
                    <c:v>00:16:00</c:v>
                  </c:pt>
                  <c:pt idx="298">
                    <c:v>00:19:00</c:v>
                  </c:pt>
                  <c:pt idx="299">
                    <c:v>00:20:00</c:v>
                  </c:pt>
                  <c:pt idx="300">
                    <c:v>00:26:00</c:v>
                  </c:pt>
                  <c:pt idx="301">
                    <c:v>00:30:00</c:v>
                  </c:pt>
                  <c:pt idx="302">
                    <c:v>00:31:00</c:v>
                  </c:pt>
                  <c:pt idx="303">
                    <c:v>00:33:00</c:v>
                  </c:pt>
                  <c:pt idx="304">
                    <c:v>00:35:00</c:v>
                  </c:pt>
                  <c:pt idx="305">
                    <c:v>00:36:00</c:v>
                  </c:pt>
                  <c:pt idx="306">
                    <c:v>00:37:00</c:v>
                  </c:pt>
                  <c:pt idx="307">
                    <c:v>00:39:00</c:v>
                  </c:pt>
                  <c:pt idx="308">
                    <c:v>00:40:00</c:v>
                  </c:pt>
                  <c:pt idx="309">
                    <c:v>00:47:00</c:v>
                  </c:pt>
                  <c:pt idx="310">
                    <c:v>01:02:00</c:v>
                  </c:pt>
                  <c:pt idx="311">
                    <c:v>01:05:00</c:v>
                  </c:pt>
                  <c:pt idx="312">
                    <c:v>01:07:00</c:v>
                  </c:pt>
                  <c:pt idx="313">
                    <c:v>01:08:00</c:v>
                  </c:pt>
                  <c:pt idx="314">
                    <c:v>01:13:00</c:v>
                  </c:pt>
                  <c:pt idx="315">
                    <c:v>01:15:00</c:v>
                  </c:pt>
                  <c:pt idx="316">
                    <c:v>01:16:00</c:v>
                  </c:pt>
                  <c:pt idx="317">
                    <c:v>01:18:00</c:v>
                  </c:pt>
                  <c:pt idx="318">
                    <c:v>01:21:00</c:v>
                  </c:pt>
                  <c:pt idx="319">
                    <c:v>01:23:00</c:v>
                  </c:pt>
                  <c:pt idx="320">
                    <c:v>01:26:00</c:v>
                  </c:pt>
                  <c:pt idx="321">
                    <c:v>01:32:00</c:v>
                  </c:pt>
                  <c:pt idx="322">
                    <c:v>01:33:00</c:v>
                  </c:pt>
                  <c:pt idx="323">
                    <c:v>01:36:00</c:v>
                  </c:pt>
                  <c:pt idx="324">
                    <c:v>01:42:00</c:v>
                  </c:pt>
                  <c:pt idx="325">
                    <c:v>01:48:00</c:v>
                  </c:pt>
                  <c:pt idx="326">
                    <c:v>01:49:00</c:v>
                  </c:pt>
                  <c:pt idx="327">
                    <c:v>01:56:00</c:v>
                  </c:pt>
                  <c:pt idx="328">
                    <c:v>02:00:00</c:v>
                  </c:pt>
                  <c:pt idx="329">
                    <c:v>02:02:00</c:v>
                  </c:pt>
                  <c:pt idx="330">
                    <c:v>02:04:00</c:v>
                  </c:pt>
                  <c:pt idx="331">
                    <c:v>02:05:00</c:v>
                  </c:pt>
                  <c:pt idx="332">
                    <c:v>02:06:00</c:v>
                  </c:pt>
                  <c:pt idx="333">
                    <c:v>02:08:00</c:v>
                  </c:pt>
                  <c:pt idx="334">
                    <c:v>02:09:00</c:v>
                  </c:pt>
                  <c:pt idx="335">
                    <c:v>02:15:00</c:v>
                  </c:pt>
                  <c:pt idx="336">
                    <c:v>02:17:00</c:v>
                  </c:pt>
                  <c:pt idx="337">
                    <c:v>02:20:00</c:v>
                  </c:pt>
                  <c:pt idx="338">
                    <c:v>02:27:00</c:v>
                  </c:pt>
                  <c:pt idx="339">
                    <c:v>02:28:00</c:v>
                  </c:pt>
                  <c:pt idx="340">
                    <c:v>02:30:00</c:v>
                  </c:pt>
                  <c:pt idx="341">
                    <c:v>02:33:00</c:v>
                  </c:pt>
                  <c:pt idx="342">
                    <c:v>02:34:00</c:v>
                  </c:pt>
                  <c:pt idx="343">
                    <c:v>02:37:00</c:v>
                  </c:pt>
                  <c:pt idx="344">
                    <c:v>02:43:00</c:v>
                  </c:pt>
                  <c:pt idx="345">
                    <c:v>02:52:00</c:v>
                  </c:pt>
                  <c:pt idx="346">
                    <c:v>02:54:00</c:v>
                  </c:pt>
                  <c:pt idx="347">
                    <c:v>02:55:00</c:v>
                  </c:pt>
                  <c:pt idx="348">
                    <c:v>03:03:00</c:v>
                  </c:pt>
                  <c:pt idx="349">
                    <c:v>03:05:00</c:v>
                  </c:pt>
                  <c:pt idx="350">
                    <c:v>03:08:00</c:v>
                  </c:pt>
                  <c:pt idx="351">
                    <c:v>03:16:00</c:v>
                  </c:pt>
                  <c:pt idx="352">
                    <c:v>03:17:00</c:v>
                  </c:pt>
                  <c:pt idx="353">
                    <c:v>03:18:00</c:v>
                  </c:pt>
                  <c:pt idx="354">
                    <c:v>03:22:00</c:v>
                  </c:pt>
                  <c:pt idx="355">
                    <c:v>03:27:00</c:v>
                  </c:pt>
                  <c:pt idx="356">
                    <c:v>03:32:00</c:v>
                  </c:pt>
                  <c:pt idx="357">
                    <c:v>03:33:00</c:v>
                  </c:pt>
                  <c:pt idx="358">
                    <c:v>03:35:00</c:v>
                  </c:pt>
                  <c:pt idx="359">
                    <c:v>03:44:00</c:v>
                  </c:pt>
                  <c:pt idx="360">
                    <c:v>03:51:00</c:v>
                  </c:pt>
                  <c:pt idx="361">
                    <c:v>03:53:00</c:v>
                  </c:pt>
                  <c:pt idx="362">
                    <c:v>03:56:00</c:v>
                  </c:pt>
                  <c:pt idx="363">
                    <c:v>03:57:00</c:v>
                  </c:pt>
                  <c:pt idx="364">
                    <c:v>03:58:00</c:v>
                  </c:pt>
                  <c:pt idx="365">
                    <c:v>04:02:00</c:v>
                  </c:pt>
                  <c:pt idx="366">
                    <c:v>04:05:00</c:v>
                  </c:pt>
                  <c:pt idx="367">
                    <c:v>04:11:00</c:v>
                  </c:pt>
                  <c:pt idx="368">
                    <c:v>04:20:00</c:v>
                  </c:pt>
                  <c:pt idx="369">
                    <c:v>04:22:00</c:v>
                  </c:pt>
                  <c:pt idx="370">
                    <c:v>04:26:00</c:v>
                  </c:pt>
                  <c:pt idx="371">
                    <c:v>04:27:00</c:v>
                  </c:pt>
                  <c:pt idx="372">
                    <c:v>04:30:00</c:v>
                  </c:pt>
                  <c:pt idx="373">
                    <c:v>04:37:00</c:v>
                  </c:pt>
                  <c:pt idx="374">
                    <c:v>04:47:00</c:v>
                  </c:pt>
                  <c:pt idx="375">
                    <c:v>04:52:00</c:v>
                  </c:pt>
                  <c:pt idx="376">
                    <c:v>05:00:00</c:v>
                  </c:pt>
                  <c:pt idx="377">
                    <c:v>05:01:00</c:v>
                  </c:pt>
                  <c:pt idx="378">
                    <c:v>05:02:00</c:v>
                  </c:pt>
                  <c:pt idx="379">
                    <c:v>05:03:00</c:v>
                  </c:pt>
                  <c:pt idx="380">
                    <c:v>05:08:00</c:v>
                  </c:pt>
                  <c:pt idx="381">
                    <c:v>05:14:00</c:v>
                  </c:pt>
                  <c:pt idx="382">
                    <c:v>05:18:00</c:v>
                  </c:pt>
                  <c:pt idx="383">
                    <c:v>05:19:00</c:v>
                  </c:pt>
                  <c:pt idx="384">
                    <c:v>05:21:00</c:v>
                  </c:pt>
                  <c:pt idx="385">
                    <c:v>05:22:00</c:v>
                  </c:pt>
                  <c:pt idx="386">
                    <c:v>05:24:00</c:v>
                  </c:pt>
                  <c:pt idx="387">
                    <c:v>05:31:00</c:v>
                  </c:pt>
                  <c:pt idx="388">
                    <c:v>05:34:00</c:v>
                  </c:pt>
                  <c:pt idx="389">
                    <c:v>05:38:00</c:v>
                  </c:pt>
                  <c:pt idx="390">
                    <c:v>05:39:00</c:v>
                  </c:pt>
                  <c:pt idx="391">
                    <c:v>05:45:00</c:v>
                  </c:pt>
                  <c:pt idx="392">
                    <c:v>05:47:00</c:v>
                  </c:pt>
                  <c:pt idx="393">
                    <c:v>05:51:00</c:v>
                  </c:pt>
                  <c:pt idx="394">
                    <c:v>05:55:00</c:v>
                  </c:pt>
                  <c:pt idx="395">
                    <c:v>06:09:00</c:v>
                  </c:pt>
                  <c:pt idx="396">
                    <c:v>06:15:00</c:v>
                  </c:pt>
                  <c:pt idx="397">
                    <c:v>06:16:00</c:v>
                  </c:pt>
                  <c:pt idx="398">
                    <c:v>06:21:00</c:v>
                  </c:pt>
                  <c:pt idx="399">
                    <c:v>06:23:00</c:v>
                  </c:pt>
                  <c:pt idx="400">
                    <c:v>06:24:00</c:v>
                  </c:pt>
                  <c:pt idx="401">
                    <c:v>06:26:00</c:v>
                  </c:pt>
                  <c:pt idx="402">
                    <c:v>06:27:00</c:v>
                  </c:pt>
                  <c:pt idx="403">
                    <c:v>06:34:00</c:v>
                  </c:pt>
                  <c:pt idx="404">
                    <c:v>06:36:00</c:v>
                  </c:pt>
                  <c:pt idx="405">
                    <c:v>06:37:00</c:v>
                  </c:pt>
                  <c:pt idx="406">
                    <c:v>06:43:00</c:v>
                  </c:pt>
                  <c:pt idx="407">
                    <c:v>06:50:00</c:v>
                  </c:pt>
                  <c:pt idx="408">
                    <c:v>06:53:00</c:v>
                  </c:pt>
                  <c:pt idx="409">
                    <c:v>06:57:00</c:v>
                  </c:pt>
                  <c:pt idx="410">
                    <c:v>07:00:00</c:v>
                  </c:pt>
                  <c:pt idx="411">
                    <c:v>07:06:00</c:v>
                  </c:pt>
                  <c:pt idx="412">
                    <c:v>07:08:00</c:v>
                  </c:pt>
                  <c:pt idx="413">
                    <c:v>07:12:00</c:v>
                  </c:pt>
                  <c:pt idx="414">
                    <c:v>07:16:00</c:v>
                  </c:pt>
                  <c:pt idx="415">
                    <c:v>07:17:00</c:v>
                  </c:pt>
                  <c:pt idx="416">
                    <c:v>07:20:00</c:v>
                  </c:pt>
                  <c:pt idx="417">
                    <c:v>07:21:00</c:v>
                  </c:pt>
                  <c:pt idx="418">
                    <c:v>07:29:00</c:v>
                  </c:pt>
                  <c:pt idx="419">
                    <c:v>07:42:00</c:v>
                  </c:pt>
                  <c:pt idx="420">
                    <c:v>07:44:00</c:v>
                  </c:pt>
                  <c:pt idx="421">
                    <c:v>07:48:00</c:v>
                  </c:pt>
                  <c:pt idx="422">
                    <c:v>07:49:00</c:v>
                  </c:pt>
                  <c:pt idx="423">
                    <c:v>07:52:00</c:v>
                  </c:pt>
                  <c:pt idx="424">
                    <c:v>07:55:00</c:v>
                  </c:pt>
                  <c:pt idx="425">
                    <c:v>07:57:00</c:v>
                  </c:pt>
                  <c:pt idx="426">
                    <c:v>07:59:00</c:v>
                  </c:pt>
                </c:lvl>
                <c:lvl>
                  <c:pt idx="0">
                    <c:v>2024-07-26</c:v>
                  </c:pt>
                  <c:pt idx="294">
                    <c:v>2024-07-27</c:v>
                  </c:pt>
                </c:lvl>
              </c:multiLvlStrCache>
            </c:multiLvlStrRef>
          </c:cat>
          <c:val>
            <c:numRef>
              <c:f>1</c:f>
              <c:numCache>
                <c:formatCode>General</c:formatCode>
                <c:ptCount val="427"/>
                <c:pt idx="0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4">
                  <c:v>1</c:v>
                </c:pt>
                <c:pt idx="15">
                  <c:v>1</c:v>
                </c:pt>
                <c:pt idx="17">
                  <c:v>1</c:v>
                </c:pt>
                <c:pt idx="19">
                  <c:v>1</c:v>
                </c:pt>
                <c:pt idx="21">
                  <c:v>1</c:v>
                </c:pt>
                <c:pt idx="22">
                  <c:v>1</c:v>
                </c:pt>
                <c:pt idx="24">
                  <c:v>1</c:v>
                </c:pt>
                <c:pt idx="27">
                  <c:v>1</c:v>
                </c:pt>
                <c:pt idx="29">
                  <c:v>1</c:v>
                </c:pt>
                <c:pt idx="32">
                  <c:v>1</c:v>
                </c:pt>
                <c:pt idx="33">
                  <c:v>1</c:v>
                </c:pt>
                <c:pt idx="35">
                  <c:v>1</c:v>
                </c:pt>
                <c:pt idx="36">
                  <c:v>1</c:v>
                </c:pt>
                <c:pt idx="38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5">
                  <c:v>1</c:v>
                </c:pt>
                <c:pt idx="46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4">
                  <c:v>1</c:v>
                </c:pt>
                <c:pt idx="56">
                  <c:v>1</c:v>
                </c:pt>
                <c:pt idx="59">
                  <c:v>1</c:v>
                </c:pt>
                <c:pt idx="60">
                  <c:v>2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7">
                  <c:v>1</c:v>
                </c:pt>
                <c:pt idx="68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9">
                  <c:v>1</c:v>
                </c:pt>
                <c:pt idx="80">
                  <c:v>1</c:v>
                </c:pt>
                <c:pt idx="83">
                  <c:v>1</c:v>
                </c:pt>
                <c:pt idx="84">
                  <c:v>1</c:v>
                </c:pt>
                <c:pt idx="86">
                  <c:v>2</c:v>
                </c:pt>
                <c:pt idx="87">
                  <c:v>1</c:v>
                </c:pt>
                <c:pt idx="89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2</c:v>
                </c:pt>
                <c:pt idx="96">
                  <c:v>1</c:v>
                </c:pt>
                <c:pt idx="98">
                  <c:v>1</c:v>
                </c:pt>
                <c:pt idx="99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8">
                  <c:v>1</c:v>
                </c:pt>
                <c:pt idx="111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20">
                  <c:v>1</c:v>
                </c:pt>
                <c:pt idx="122">
                  <c:v>1</c:v>
                </c:pt>
                <c:pt idx="124">
                  <c:v>1</c:v>
                </c:pt>
                <c:pt idx="126">
                  <c:v>2</c:v>
                </c:pt>
                <c:pt idx="127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6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3">
                  <c:v>1</c:v>
                </c:pt>
                <c:pt idx="144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2">
                  <c:v>1</c:v>
                </c:pt>
                <c:pt idx="154">
                  <c:v>2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2">
                  <c:v>2</c:v>
                </c:pt>
                <c:pt idx="163">
                  <c:v>2</c:v>
                </c:pt>
                <c:pt idx="165">
                  <c:v>1</c:v>
                </c:pt>
                <c:pt idx="166">
                  <c:v>1</c:v>
                </c:pt>
                <c:pt idx="169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6">
                  <c:v>1</c:v>
                </c:pt>
                <c:pt idx="179">
                  <c:v>1</c:v>
                </c:pt>
                <c:pt idx="183">
                  <c:v>1</c:v>
                </c:pt>
                <c:pt idx="184">
                  <c:v>2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4">
                  <c:v>1</c:v>
                </c:pt>
                <c:pt idx="198">
                  <c:v>1</c:v>
                </c:pt>
                <c:pt idx="200">
                  <c:v>1</c:v>
                </c:pt>
                <c:pt idx="202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5">
                  <c:v>1</c:v>
                </c:pt>
                <c:pt idx="216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2">
                  <c:v>1</c:v>
                </c:pt>
                <c:pt idx="224">
                  <c:v>2</c:v>
                </c:pt>
                <c:pt idx="228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1">
                  <c:v>1</c:v>
                </c:pt>
                <c:pt idx="242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51">
                  <c:v>1</c:v>
                </c:pt>
                <c:pt idx="253">
                  <c:v>1</c:v>
                </c:pt>
                <c:pt idx="255">
                  <c:v>2</c:v>
                </c:pt>
                <c:pt idx="259">
                  <c:v>1</c:v>
                </c:pt>
                <c:pt idx="260">
                  <c:v>1</c:v>
                </c:pt>
                <c:pt idx="262">
                  <c:v>1</c:v>
                </c:pt>
                <c:pt idx="263">
                  <c:v>1</c:v>
                </c:pt>
                <c:pt idx="265">
                  <c:v>1</c:v>
                </c:pt>
                <c:pt idx="268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6">
                  <c:v>1</c:v>
                </c:pt>
                <c:pt idx="277">
                  <c:v>1</c:v>
                </c:pt>
                <c:pt idx="279">
                  <c:v>1</c:v>
                </c:pt>
                <c:pt idx="283">
                  <c:v>1</c:v>
                </c:pt>
                <c:pt idx="284">
                  <c:v>1</c:v>
                </c:pt>
                <c:pt idx="287">
                  <c:v>1</c:v>
                </c:pt>
                <c:pt idx="289">
                  <c:v>1</c:v>
                </c:pt>
                <c:pt idx="291">
                  <c:v>1</c:v>
                </c:pt>
                <c:pt idx="292">
                  <c:v>1</c:v>
                </c:pt>
                <c:pt idx="295">
                  <c:v>1</c:v>
                </c:pt>
                <c:pt idx="296">
                  <c:v>1</c:v>
                </c:pt>
                <c:pt idx="302">
                  <c:v>2</c:v>
                </c:pt>
                <c:pt idx="303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5">
                  <c:v>2</c:v>
                </c:pt>
                <c:pt idx="316">
                  <c:v>1</c:v>
                </c:pt>
                <c:pt idx="319">
                  <c:v>1</c:v>
                </c:pt>
                <c:pt idx="321">
                  <c:v>1</c:v>
                </c:pt>
                <c:pt idx="326">
                  <c:v>1</c:v>
                </c:pt>
                <c:pt idx="327">
                  <c:v>2</c:v>
                </c:pt>
                <c:pt idx="328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5">
                  <c:v>1</c:v>
                </c:pt>
                <c:pt idx="337">
                  <c:v>1</c:v>
                </c:pt>
                <c:pt idx="338">
                  <c:v>1</c:v>
                </c:pt>
                <c:pt idx="341">
                  <c:v>2</c:v>
                </c:pt>
                <c:pt idx="343">
                  <c:v>1</c:v>
                </c:pt>
                <c:pt idx="344">
                  <c:v>1</c:v>
                </c:pt>
                <c:pt idx="347">
                  <c:v>2</c:v>
                </c:pt>
                <c:pt idx="348">
                  <c:v>1</c:v>
                </c:pt>
                <c:pt idx="349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6">
                  <c:v>1</c:v>
                </c:pt>
                <c:pt idx="357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5">
                  <c:v>1</c:v>
                </c:pt>
                <c:pt idx="367">
                  <c:v>2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2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4">
                  <c:v>1</c:v>
                </c:pt>
                <c:pt idx="386">
                  <c:v>1</c:v>
                </c:pt>
                <c:pt idx="388">
                  <c:v>1</c:v>
                </c:pt>
                <c:pt idx="389">
                  <c:v>1</c:v>
                </c:pt>
                <c:pt idx="393">
                  <c:v>1</c:v>
                </c:pt>
                <c:pt idx="396">
                  <c:v>1</c:v>
                </c:pt>
                <c:pt idx="399">
                  <c:v>1</c:v>
                </c:pt>
                <c:pt idx="400">
                  <c:v>2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2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2">
                  <c:v>1</c:v>
                </c:pt>
                <c:pt idx="413">
                  <c:v>1</c:v>
                </c:pt>
                <c:pt idx="416">
                  <c:v>1</c:v>
                </c:pt>
                <c:pt idx="418">
                  <c:v>1</c:v>
                </c:pt>
                <c:pt idx="420">
                  <c:v>1</c:v>
                </c:pt>
                <c:pt idx="424">
                  <c:v>1</c:v>
                </c:pt>
              </c:numCache>
            </c:numRef>
          </c:val>
        </c:ser>
        <c:gapWidth val="100"/>
        <c:overlap val="0"/>
        <c:axId val="57168743"/>
        <c:axId val="51729401"/>
      </c:barChart>
      <c:catAx>
        <c:axId val="57168743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3465a4"/>
                </a:solidFill>
                <a:uFillTx/>
                <a:latin typeface="Arial"/>
                <a:ea typeface="DejaVu Sans"/>
              </a:defRPr>
            </a:pPr>
          </a:p>
        </c:txPr>
        <c:crossAx val="51729401"/>
        <c:crosses val="autoZero"/>
        <c:auto val="1"/>
        <c:lblAlgn val="ctr"/>
        <c:lblOffset val="100"/>
        <c:noMultiLvlLbl val="0"/>
      </c:catAx>
      <c:valAx>
        <c:axId val="51729401"/>
        <c:scaling>
          <c:orientation val="minMax"/>
        </c:scaling>
        <c:delete val="0"/>
        <c:axPos val="l"/>
        <c:majorGridlines>
          <c:spPr>
            <a:ln w="0">
              <a:solidFill>
                <a:srgbClr val="eeeeee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eeeeee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729fcf"/>
                </a:solidFill>
                <a:uFillTx/>
                <a:latin typeface="Arial"/>
                <a:ea typeface="DejaVu Sans"/>
              </a:defRPr>
            </a:pPr>
          </a:p>
        </c:txPr>
        <c:crossAx val="57168743"/>
        <c:crossesAt val="1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gradFill>
          <a:gsLst>
            <a:gs pos="0">
              <a:srgbClr val="b4c7dc"/>
            </a:gs>
            <a:gs pos="100000">
              <a:srgbClr val="ffd7d7"/>
            </a:gs>
          </a:gsLst>
          <a:path path="rect">
            <a:fillToRect l="50000" t="50000" r="50000" b="50000"/>
          </a:path>
        </a:gradFill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gradFill>
      <a:gsLst>
        <a:gs pos="0">
          <a:srgbClr val="b4c7dc"/>
        </a:gs>
        <a:gs pos="100000">
          <a:srgbClr val="ffd7d7"/>
        </a:gs>
      </a:gsLst>
      <a:path path="rect">
        <a:fillToRect l="50000" t="50000" r="50000" b="50000"/>
      </a:path>
    </a:gradFill>
    <a:ln w="0">
      <a:solidFill>
        <a:srgbClr val="2a6099"/>
      </a:solidFill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sz="1300" strike="noStrike" u="none">
                <a:uFillTx/>
                <a:latin typeface="Arial"/>
              </a:rPr>
              <a:t>Daily Firewall Logs</a:t>
            </a:r>
          </a:p>
          <a:p>
            <a:pPr>
              <a:defRPr b="0" sz="1300" strike="noStrike" u="none">
                <a:uFillTx/>
                <a:latin typeface="Arial"/>
              </a:defRPr>
            </a:pPr>
            <a:r>
              <a:rPr b="0" sz="1100" strike="noStrike" u="none">
                <a:uFillTx/>
                <a:latin typeface="Arial"/>
              </a:rPr>
              <a:t># of Allowed and Blocked IPs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label 0</c:f>
              <c:strCache>
                <c:ptCount val="1"/>
                <c:pt idx="0">
                  <c:v>Allowed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2"/>
                <c:pt idx="0">
                  <c:v>2024-07-26</c:v>
                </c:pt>
                <c:pt idx="1">
                  <c:v>2024-07-27</c:v>
                </c:pt>
              </c:strCache>
            </c:strRef>
          </c:cat>
          <c:val>
            <c:numRef>
              <c:f>0</c:f>
              <c:numCache>
                <c:formatCode>General</c:formatCode>
                <c:ptCount val="2"/>
                <c:pt idx="0">
                  <c:v>159</c:v>
                </c:pt>
                <c:pt idx="1">
                  <c:v>79</c:v>
                </c:pt>
              </c:numCache>
            </c:numRef>
          </c:val>
        </c:ser>
        <c:ser>
          <c:idx val="1"/>
          <c:order val="1"/>
          <c:tx>
            <c:strRef>
              <c:f>label 1</c:f>
              <c:strCache>
                <c:ptCount val="1"/>
                <c:pt idx="0">
                  <c:v>Blocked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2"/>
                <c:pt idx="0">
                  <c:v>2024-07-26</c:v>
                </c:pt>
                <c:pt idx="1">
                  <c:v>2024-07-27</c:v>
                </c:pt>
              </c:strCache>
            </c:strRef>
          </c:cat>
          <c:val>
            <c:numRef>
              <c:f>1</c:f>
              <c:numCache>
                <c:formatCode>General</c:formatCode>
                <c:ptCount val="2"/>
                <c:pt idx="0">
                  <c:v>180</c:v>
                </c:pt>
                <c:pt idx="1">
                  <c:v>82</c:v>
                </c:pt>
              </c:numCache>
            </c:numRef>
          </c:val>
        </c:ser>
        <c:gapWidth val="100"/>
        <c:overlap val="0"/>
        <c:axId val="53165892"/>
        <c:axId val="15386243"/>
      </c:barChart>
      <c:catAx>
        <c:axId val="5316589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900" strike="noStrike" u="none">
                    <a:uFillTx/>
                    <a:latin typeface="Arial"/>
                  </a:rPr>
                  <a:t>Date (YYYY-MM-DD)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15386243"/>
        <c:crosses val="autoZero"/>
        <c:auto val="1"/>
        <c:lblAlgn val="ctr"/>
        <c:lblOffset val="100"/>
        <c:noMultiLvlLbl val="0"/>
      </c:catAx>
      <c:valAx>
        <c:axId val="1538624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900" strike="noStrike" u="none">
                    <a:uFillTx/>
                    <a:latin typeface="Arial"/>
                  </a:rPr>
                  <a:t>Total Count (#)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53165892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Relationship Id="rId3" Type="http://schemas.openxmlformats.org/officeDocument/2006/relationships/chart" Target="../charts/chart5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Relationship Id="rId3" Type="http://schemas.openxmlformats.org/officeDocument/2006/relationships/chart" Target="../charts/chart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21960</xdr:colOff>
      <xdr:row>4</xdr:row>
      <xdr:rowOff>21240</xdr:rowOff>
    </xdr:from>
    <xdr:to>
      <xdr:col>14</xdr:col>
      <xdr:colOff>771840</xdr:colOff>
      <xdr:row>29</xdr:row>
      <xdr:rowOff>36000</xdr:rowOff>
    </xdr:to>
    <xdr:graphicFrame>
      <xdr:nvGraphicFramePr>
        <xdr:cNvPr id="0" name=""/>
        <xdr:cNvGraphicFramePr/>
      </xdr:nvGraphicFramePr>
      <xdr:xfrm>
        <a:off x="5220000" y="671400"/>
        <a:ext cx="7252200" cy="4078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43200</xdr:colOff>
      <xdr:row>9</xdr:row>
      <xdr:rowOff>53280</xdr:rowOff>
    </xdr:from>
    <xdr:to>
      <xdr:col>5</xdr:col>
      <xdr:colOff>679320</xdr:colOff>
      <xdr:row>26</xdr:row>
      <xdr:rowOff>114480</xdr:rowOff>
    </xdr:to>
    <xdr:graphicFrame>
      <xdr:nvGraphicFramePr>
        <xdr:cNvPr id="1" name=""/>
        <xdr:cNvGraphicFramePr/>
      </xdr:nvGraphicFramePr>
      <xdr:xfrm>
        <a:off x="43200" y="1516320"/>
        <a:ext cx="5021280" cy="2824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3</xdr:row>
      <xdr:rowOff>161280</xdr:rowOff>
    </xdr:from>
    <xdr:to>
      <xdr:col>14</xdr:col>
      <xdr:colOff>381240</xdr:colOff>
      <xdr:row>20</xdr:row>
      <xdr:rowOff>112320</xdr:rowOff>
    </xdr:to>
    <xdr:graphicFrame>
      <xdr:nvGraphicFramePr>
        <xdr:cNvPr id="2" name=""/>
        <xdr:cNvGraphicFramePr/>
      </xdr:nvGraphicFramePr>
      <xdr:xfrm>
        <a:off x="6109920" y="649080"/>
        <a:ext cx="4825800" cy="2714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187200</xdr:colOff>
      <xdr:row>21</xdr:row>
      <xdr:rowOff>140760</xdr:rowOff>
    </xdr:from>
    <xdr:to>
      <xdr:col>7</xdr:col>
      <xdr:colOff>666000</xdr:colOff>
      <xdr:row>36</xdr:row>
      <xdr:rowOff>131040</xdr:rowOff>
    </xdr:to>
    <xdr:graphicFrame>
      <xdr:nvGraphicFramePr>
        <xdr:cNvPr id="3" name=""/>
        <xdr:cNvGraphicFramePr/>
      </xdr:nvGraphicFramePr>
      <xdr:xfrm>
        <a:off x="923760" y="3554640"/>
        <a:ext cx="4542840" cy="242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</xdr:col>
      <xdr:colOff>32040</xdr:colOff>
      <xdr:row>4</xdr:row>
      <xdr:rowOff>8280</xdr:rowOff>
    </xdr:from>
    <xdr:to>
      <xdr:col>8</xdr:col>
      <xdr:colOff>31320</xdr:colOff>
      <xdr:row>20</xdr:row>
      <xdr:rowOff>149760</xdr:rowOff>
    </xdr:to>
    <xdr:graphicFrame>
      <xdr:nvGraphicFramePr>
        <xdr:cNvPr id="4" name=""/>
        <xdr:cNvGraphicFramePr/>
      </xdr:nvGraphicFramePr>
      <xdr:xfrm>
        <a:off x="768600" y="658440"/>
        <a:ext cx="4876200" cy="2742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360</xdr:colOff>
      <xdr:row>2</xdr:row>
      <xdr:rowOff>0</xdr:rowOff>
    </xdr:from>
    <xdr:to>
      <xdr:col>9</xdr:col>
      <xdr:colOff>789840</xdr:colOff>
      <xdr:row>27</xdr:row>
      <xdr:rowOff>37080</xdr:rowOff>
    </xdr:to>
    <xdr:graphicFrame>
      <xdr:nvGraphicFramePr>
        <xdr:cNvPr id="5" name=""/>
        <xdr:cNvGraphicFramePr/>
      </xdr:nvGraphicFramePr>
      <xdr:xfrm>
        <a:off x="813240" y="325080"/>
        <a:ext cx="7291800" cy="4101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29</xdr:row>
      <xdr:rowOff>360</xdr:rowOff>
    </xdr:from>
    <xdr:to>
      <xdr:col>9</xdr:col>
      <xdr:colOff>780840</xdr:colOff>
      <xdr:row>50</xdr:row>
      <xdr:rowOff>88560</xdr:rowOff>
    </xdr:to>
    <xdr:graphicFrame>
      <xdr:nvGraphicFramePr>
        <xdr:cNvPr id="6" name=""/>
        <xdr:cNvGraphicFramePr/>
      </xdr:nvGraphicFramePr>
      <xdr:xfrm>
        <a:off x="812880" y="4714560"/>
        <a:ext cx="7283160" cy="3502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52</xdr:row>
      <xdr:rowOff>360</xdr:rowOff>
    </xdr:from>
    <xdr:to>
      <xdr:col>9</xdr:col>
      <xdr:colOff>710640</xdr:colOff>
      <xdr:row>76</xdr:row>
      <xdr:rowOff>156240</xdr:rowOff>
    </xdr:to>
    <xdr:graphicFrame>
      <xdr:nvGraphicFramePr>
        <xdr:cNvPr id="7" name=""/>
        <xdr:cNvGraphicFramePr/>
      </xdr:nvGraphicFramePr>
      <xdr:xfrm>
        <a:off x="812880" y="8453520"/>
        <a:ext cx="7212960" cy="4057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500" createdVersion="3">
  <cacheSource type="worksheet">
    <worksheetSource ref="A1:H501" sheet="firewall_logs"/>
  </cacheSource>
  <cacheFields count="8">
    <cacheField name="Timestamp" numFmtId="0">
      <sharedItems containsSemiMixedTypes="0" containsNonDate="0" containsDate="1" containsString="0" minDate="2024-07-26T08:00:00" maxDate="2024-07-27T07:59:00" count="427">
        <d v="2024-07-26T08:00:00"/>
        <d v="2024-07-26T08:03:00"/>
        <d v="2024-07-26T08:07:00"/>
        <d v="2024-07-26T08:10:00"/>
        <d v="2024-07-26T08:16:00"/>
        <d v="2024-07-26T08:22:00"/>
        <d v="2024-07-26T08:23:00"/>
        <d v="2024-07-26T08:29:00"/>
        <d v="2024-07-26T08:35:00"/>
        <d v="2024-07-26T08:36:00"/>
        <d v="2024-07-26T08:43:00"/>
        <d v="2024-07-26T08:51:00"/>
        <d v="2024-07-26T08:54:00"/>
        <d v="2024-07-26T08:55:00"/>
        <d v="2024-07-26T08:57:00"/>
        <d v="2024-07-26T08:58:00"/>
        <d v="2024-07-26T09:04:00"/>
        <d v="2024-07-26T09:06:00"/>
        <d v="2024-07-26T09:16:00"/>
        <d v="2024-07-26T09:22:00"/>
        <d v="2024-07-26T09:24:00"/>
        <d v="2024-07-26T09:25:00"/>
        <d v="2024-07-26T09:28:00"/>
        <d v="2024-07-26T09:31:00"/>
        <d v="2024-07-26T09:33:00"/>
        <d v="2024-07-26T09:35:00"/>
        <d v="2024-07-26T09:41:00"/>
        <d v="2024-07-26T09:56:00"/>
        <d v="2024-07-26T09:57:00"/>
        <d v="2024-07-26T10:01:00"/>
        <d v="2024-07-26T10:02:00"/>
        <d v="2024-07-26T10:06:00"/>
        <d v="2024-07-26T10:09:00"/>
        <d v="2024-07-26T10:13:00"/>
        <d v="2024-07-26T10:16:00"/>
        <d v="2024-07-26T10:19:00"/>
        <d v="2024-07-26T10:21:00"/>
        <d v="2024-07-26T10:22:00"/>
        <d v="2024-07-26T10:24:00"/>
        <d v="2024-07-26T10:25:00"/>
        <d v="2024-07-26T10:26:00"/>
        <d v="2024-07-26T10:30:00"/>
        <d v="2024-07-26T10:38:00"/>
        <d v="2024-07-26T10:39:00"/>
        <d v="2024-07-26T10:40:00"/>
        <d v="2024-07-26T10:41:00"/>
        <d v="2024-07-26T10:43:00"/>
        <d v="2024-07-26T10:45:00"/>
        <d v="2024-07-26T10:47:00"/>
        <d v="2024-07-26T10:53:00"/>
        <d v="2024-07-26T10:54:00"/>
        <d v="2024-07-26T10:57:00"/>
        <d v="2024-07-26T11:00:00"/>
        <d v="2024-07-26T11:05:00"/>
        <d v="2024-07-26T11:15:00"/>
        <d v="2024-07-26T11:16:00"/>
        <d v="2024-07-26T11:20:00"/>
        <d v="2024-07-26T11:23:00"/>
        <d v="2024-07-26T11:25:00"/>
        <d v="2024-07-26T11:26:00"/>
        <d v="2024-07-26T11:30:00"/>
        <d v="2024-07-26T11:31:00"/>
        <d v="2024-07-26T11:33:00"/>
        <d v="2024-07-26T11:34:00"/>
        <d v="2024-07-26T11:37:00"/>
        <d v="2024-07-26T11:46:00"/>
        <d v="2024-07-26T11:53:00"/>
        <d v="2024-07-26T11:54:00"/>
        <d v="2024-07-26T11:55:00"/>
        <d v="2024-07-26T11:57:00"/>
        <d v="2024-07-26T11:58:00"/>
        <d v="2024-07-26T12:00:00"/>
        <d v="2024-07-26T12:03:00"/>
        <d v="2024-07-26T12:05:00"/>
        <d v="2024-07-26T12:07:00"/>
        <d v="2024-07-26T12:08:00"/>
        <d v="2024-07-26T12:10:00"/>
        <d v="2024-07-26T12:12:00"/>
        <d v="2024-07-26T12:14:00"/>
        <d v="2024-07-26T12:22:00"/>
        <d v="2024-07-26T12:25:00"/>
        <d v="2024-07-26T12:26:00"/>
        <d v="2024-07-26T12:27:00"/>
        <d v="2024-07-26T12:28:00"/>
        <d v="2024-07-26T12:32:00"/>
        <d v="2024-07-26T12:33:00"/>
        <d v="2024-07-26T12:42:00"/>
        <d v="2024-07-26T12:48:00"/>
        <d v="2024-07-26T12:54:00"/>
        <d v="2024-07-26T13:04:00"/>
        <d v="2024-07-26T13:05:00"/>
        <d v="2024-07-26T13:12:00"/>
        <d v="2024-07-26T13:17:00"/>
        <d v="2024-07-26T13:18:00"/>
        <d v="2024-07-26T13:21:00"/>
        <d v="2024-07-26T13:22:00"/>
        <d v="2024-07-26T13:25:00"/>
        <d v="2024-07-26T13:26:00"/>
        <d v="2024-07-26T13:28:00"/>
        <d v="2024-07-26T13:29:00"/>
        <d v="2024-07-26T13:33:00"/>
        <d v="2024-07-26T13:37:00"/>
        <d v="2024-07-26T13:38:00"/>
        <d v="2024-07-26T13:41:00"/>
        <d v="2024-07-26T13:43:00"/>
        <d v="2024-07-26T13:51:00"/>
        <d v="2024-07-26T13:55:00"/>
        <d v="2024-07-26T13:57:00"/>
        <d v="2024-07-26T14:00:00"/>
        <d v="2024-07-26T14:04:00"/>
        <d v="2024-07-26T14:08:00"/>
        <d v="2024-07-26T14:09:00"/>
        <d v="2024-07-26T14:11:00"/>
        <d v="2024-07-26T14:15:00"/>
        <d v="2024-07-26T14:20:00"/>
        <d v="2024-07-26T14:23:00"/>
        <d v="2024-07-26T14:30:00"/>
        <d v="2024-07-26T14:33:00"/>
        <d v="2024-07-26T14:34:00"/>
        <d v="2024-07-26T14:36:00"/>
        <d v="2024-07-26T14:39:00"/>
        <d v="2024-07-26T14:47:00"/>
        <d v="2024-07-26T14:49:00"/>
        <d v="2024-07-26T14:50:00"/>
        <d v="2024-07-26T14:54:00"/>
        <d v="2024-07-26T14:55:00"/>
        <d v="2024-07-26T14:57:00"/>
        <d v="2024-07-26T14:58:00"/>
        <d v="2024-07-26T14:59:00"/>
        <d v="2024-07-26T15:00:00"/>
        <d v="2024-07-26T15:01:00"/>
        <d v="2024-07-26T15:03:00"/>
        <d v="2024-07-26T15:04:00"/>
        <d v="2024-07-26T15:08:00"/>
        <d v="2024-07-26T15:10:00"/>
        <d v="2024-07-26T15:12:00"/>
        <d v="2024-07-26T15:15:00"/>
        <d v="2024-07-26T15:17:00"/>
        <d v="2024-07-26T15:20:00"/>
        <d v="2024-07-26T15:21:00"/>
        <d v="2024-07-26T15:23:00"/>
        <d v="2024-07-26T15:26:00"/>
        <d v="2024-07-26T15:29:00"/>
        <d v="2024-07-26T15:33:00"/>
        <d v="2024-07-26T15:38:00"/>
        <d v="2024-07-26T15:41:00"/>
        <d v="2024-07-26T15:43:00"/>
        <d v="2024-07-26T15:46:00"/>
        <d v="2024-07-26T15:47:00"/>
        <d v="2024-07-26T15:55:00"/>
        <d v="2024-07-26T15:57:00"/>
        <d v="2024-07-26T16:02:00"/>
        <d v="2024-07-26T16:03:00"/>
        <d v="2024-07-26T16:04:00"/>
        <d v="2024-07-26T16:07:00"/>
        <d v="2024-07-26T16:10:00"/>
        <d v="2024-07-26T16:12:00"/>
        <d v="2024-07-26T16:13:00"/>
        <d v="2024-07-26T16:14:00"/>
        <d v="2024-07-26T16:20:00"/>
        <d v="2024-07-26T16:24:00"/>
        <d v="2024-07-26T16:28:00"/>
        <d v="2024-07-26T16:30:00"/>
        <d v="2024-07-26T16:31:00"/>
        <d v="2024-07-26T16:36:00"/>
        <d v="2024-07-26T16:40:00"/>
        <d v="2024-07-26T16:42:00"/>
        <d v="2024-07-26T16:43:00"/>
        <d v="2024-07-26T16:46:00"/>
        <d v="2024-07-26T16:52:00"/>
        <d v="2024-07-26T16:54:00"/>
        <d v="2024-07-26T16:59:00"/>
        <d v="2024-07-26T17:01:00"/>
        <d v="2024-07-26T17:02:00"/>
        <d v="2024-07-26T17:03:00"/>
        <d v="2024-07-26T17:07:00"/>
        <d v="2024-07-26T17:12:00"/>
        <d v="2024-07-26T17:13:00"/>
        <d v="2024-07-26T17:17:00"/>
        <d v="2024-07-26T17:21:00"/>
        <d v="2024-07-26T17:22:00"/>
        <d v="2024-07-26T17:47:00"/>
        <d v="2024-07-26T17:48:00"/>
        <d v="2024-07-26T17:49:00"/>
        <d v="2024-07-26T17:50:00"/>
        <d v="2024-07-26T17:55:00"/>
        <d v="2024-07-26T18:04:00"/>
        <d v="2024-07-26T18:12:00"/>
        <d v="2024-07-26T18:14:00"/>
        <d v="2024-07-26T18:16:00"/>
        <d v="2024-07-26T18:17:00"/>
        <d v="2024-07-26T18:25:00"/>
        <d v="2024-07-26T18:27:00"/>
        <d v="2024-07-26T18:33:00"/>
        <d v="2024-07-26T18:41:00"/>
        <d v="2024-07-26T18:45:00"/>
        <d v="2024-07-26T18:49:00"/>
        <d v="2024-07-26T18:50:00"/>
        <d v="2024-07-26T18:51:00"/>
        <d v="2024-07-26T18:52:00"/>
        <d v="2024-07-26T18:53:00"/>
        <d v="2024-07-26T18:54:00"/>
        <d v="2024-07-26T18:56:00"/>
        <d v="2024-07-26T18:58:00"/>
        <d v="2024-07-26T19:03:00"/>
        <d v="2024-07-26T19:04:00"/>
        <d v="2024-07-26T19:06:00"/>
        <d v="2024-07-26T19:07:00"/>
        <d v="2024-07-26T19:13:00"/>
        <d v="2024-07-26T19:14:00"/>
        <d v="2024-07-26T19:15:00"/>
        <d v="2024-07-26T19:22:00"/>
        <d v="2024-07-26T19:23:00"/>
        <d v="2024-07-26T19:24:00"/>
        <d v="2024-07-26T19:26:00"/>
        <d v="2024-07-26T19:29:00"/>
        <d v="2024-07-26T19:31:00"/>
        <d v="2024-07-26T19:33:00"/>
        <d v="2024-07-26T19:36:00"/>
        <d v="2024-07-26T19:38:00"/>
        <d v="2024-07-26T19:40:00"/>
        <d v="2024-07-26T19:42:00"/>
        <d v="2024-07-26T19:45:00"/>
        <d v="2024-07-26T19:55:00"/>
        <d v="2024-07-26T19:57:00"/>
        <d v="2024-07-26T19:59:00"/>
        <d v="2024-07-26T20:00:00"/>
        <d v="2024-07-26T20:05:00"/>
        <d v="2024-07-26T20:08:00"/>
        <d v="2024-07-26T20:09:00"/>
        <d v="2024-07-26T20:11:00"/>
        <d v="2024-07-26T20:12:00"/>
        <d v="2024-07-26T20:20:00"/>
        <d v="2024-07-26T20:22:00"/>
        <d v="2024-07-26T20:25:00"/>
        <d v="2024-07-26T20:26:00"/>
        <d v="2024-07-26T20:27:00"/>
        <d v="2024-07-26T20:28:00"/>
        <d v="2024-07-26T20:30:00"/>
        <d v="2024-07-26T20:36:00"/>
        <d v="2024-07-26T20:40:00"/>
        <d v="2024-07-26T20:41:00"/>
        <d v="2024-07-26T20:42:00"/>
        <d v="2024-07-26T20:44:00"/>
        <d v="2024-07-26T20:50:00"/>
        <d v="2024-07-26T20:51:00"/>
        <d v="2024-07-26T20:53:00"/>
        <d v="2024-07-26T20:54:00"/>
        <d v="2024-07-26T21:00:00"/>
        <d v="2024-07-26T21:02:00"/>
        <d v="2024-07-26T21:06:00"/>
        <d v="2024-07-26T21:14:00"/>
        <d v="2024-07-26T21:17:00"/>
        <d v="2024-07-26T21:20:00"/>
        <d v="2024-07-26T21:23:00"/>
        <d v="2024-07-26T21:26:00"/>
        <d v="2024-07-26T21:38:00"/>
        <d v="2024-07-26T21:40:00"/>
        <d v="2024-07-26T21:49:00"/>
        <d v="2024-07-26T21:53:00"/>
        <d v="2024-07-26T21:56:00"/>
        <d v="2024-07-26T21:58:00"/>
        <d v="2024-07-26T22:04:00"/>
        <d v="2024-07-26T22:06:00"/>
        <d v="2024-07-26T22:08:00"/>
        <d v="2024-07-26T22:09:00"/>
        <d v="2024-07-26T22:24:00"/>
        <d v="2024-07-26T22:26:00"/>
        <d v="2024-07-26T22:28:00"/>
        <d v="2024-07-26T22:29:00"/>
        <d v="2024-07-26T22:30:00"/>
        <d v="2024-07-26T22:32:00"/>
        <d v="2024-07-26T22:39:00"/>
        <d v="2024-07-26T22:50:00"/>
        <d v="2024-07-26T22:53:00"/>
        <d v="2024-07-26T22:55:00"/>
        <d v="2024-07-26T22:56:00"/>
        <d v="2024-07-26T22:59:00"/>
        <d v="2024-07-26T23:19:00"/>
        <d v="2024-07-26T23:20:00"/>
        <d v="2024-07-26T23:21:00"/>
        <d v="2024-07-26T23:22:00"/>
        <d v="2024-07-26T23:33:00"/>
        <d v="2024-07-26T23:34:00"/>
        <d v="2024-07-26T23:38:00"/>
        <d v="2024-07-26T23:40:00"/>
        <d v="2024-07-26T23:41:00"/>
        <d v="2024-07-26T23:43:00"/>
        <d v="2024-07-26T23:45:00"/>
        <d v="2024-07-26T23:47:00"/>
        <d v="2024-07-26T23:49:00"/>
        <d v="2024-07-26T23:51:00"/>
        <d v="2024-07-26T23:52:00"/>
        <d v="2024-07-26T23:55:00"/>
        <d v="2024-07-27T00:06:00"/>
        <d v="2024-07-27T00:10:00"/>
        <d v="2024-07-27T00:15:00"/>
        <d v="2024-07-27T00:16:00"/>
        <d v="2024-07-27T00:19:00"/>
        <d v="2024-07-27T00:20:00"/>
        <d v="2024-07-27T00:26:00"/>
        <d v="2024-07-27T00:30:00"/>
        <d v="2024-07-27T00:31:00"/>
        <d v="2024-07-27T00:33:00"/>
        <d v="2024-07-27T00:35:00"/>
        <d v="2024-07-27T00:36:00"/>
        <d v="2024-07-27T00:37:00"/>
        <d v="2024-07-27T00:39:00"/>
        <d v="2024-07-27T00:40:00"/>
        <d v="2024-07-27T00:47:00"/>
        <d v="2024-07-27T01:02:00"/>
        <d v="2024-07-27T01:05:00"/>
        <d v="2024-07-27T01:07:00"/>
        <d v="2024-07-27T01:08:00"/>
        <d v="2024-07-27T01:13:00"/>
        <d v="2024-07-27T01:15:00"/>
        <d v="2024-07-27T01:16:00"/>
        <d v="2024-07-27T01:18:00"/>
        <d v="2024-07-27T01:21:00"/>
        <d v="2024-07-27T01:23:00"/>
        <d v="2024-07-27T01:26:00"/>
        <d v="2024-07-27T01:32:00"/>
        <d v="2024-07-27T01:33:00"/>
        <d v="2024-07-27T01:36:00"/>
        <d v="2024-07-27T01:42:00"/>
        <d v="2024-07-27T01:48:00"/>
        <d v="2024-07-27T01:49:00"/>
        <d v="2024-07-27T01:56:00"/>
        <d v="2024-07-27T02:00:00"/>
        <d v="2024-07-27T02:02:00"/>
        <d v="2024-07-27T02:04:00"/>
        <d v="2024-07-27T02:05:00"/>
        <d v="2024-07-27T02:06:00"/>
        <d v="2024-07-27T02:08:00"/>
        <d v="2024-07-27T02:09:00"/>
        <d v="2024-07-27T02:15:00"/>
        <d v="2024-07-27T02:17:00"/>
        <d v="2024-07-27T02:20:00"/>
        <d v="2024-07-27T02:27:00"/>
        <d v="2024-07-27T02:28:00"/>
        <d v="2024-07-27T02:30:00"/>
        <d v="2024-07-27T02:33:00"/>
        <d v="2024-07-27T02:34:00"/>
        <d v="2024-07-27T02:37:00"/>
        <d v="2024-07-27T02:43:00"/>
        <d v="2024-07-27T02:52:00"/>
        <d v="2024-07-27T02:54:00"/>
        <d v="2024-07-27T02:55:00"/>
        <d v="2024-07-27T03:03:00"/>
        <d v="2024-07-27T03:05:00"/>
        <d v="2024-07-27T03:08:00"/>
        <d v="2024-07-27T03:16:00"/>
        <d v="2024-07-27T03:17:00"/>
        <d v="2024-07-27T03:18:00"/>
        <d v="2024-07-27T03:22:00"/>
        <d v="2024-07-27T03:27:00"/>
        <d v="2024-07-27T03:32:00"/>
        <d v="2024-07-27T03:33:00"/>
        <d v="2024-07-27T03:35:00"/>
        <d v="2024-07-27T03:44:00"/>
        <d v="2024-07-27T03:51:00"/>
        <d v="2024-07-27T03:53:00"/>
        <d v="2024-07-27T03:56:00"/>
        <d v="2024-07-27T03:57:00"/>
        <d v="2024-07-27T03:58:00"/>
        <d v="2024-07-27T04:02:00"/>
        <d v="2024-07-27T04:05:00"/>
        <d v="2024-07-27T04:11:00"/>
        <d v="2024-07-27T04:20:00"/>
        <d v="2024-07-27T04:22:00"/>
        <d v="2024-07-27T04:26:00"/>
        <d v="2024-07-27T04:27:00"/>
        <d v="2024-07-27T04:30:00"/>
        <d v="2024-07-27T04:37:00"/>
        <d v="2024-07-27T04:47:00"/>
        <d v="2024-07-27T04:52:00"/>
        <d v="2024-07-27T05:00:00"/>
        <d v="2024-07-27T05:01:00"/>
        <d v="2024-07-27T05:02:00"/>
        <d v="2024-07-27T05:03:00"/>
        <d v="2024-07-27T05:08:00"/>
        <d v="2024-07-27T05:14:00"/>
        <d v="2024-07-27T05:18:00"/>
        <d v="2024-07-27T05:19:00"/>
        <d v="2024-07-27T05:21:00"/>
        <d v="2024-07-27T05:22:00"/>
        <d v="2024-07-27T05:24:00"/>
        <d v="2024-07-27T05:31:00"/>
        <d v="2024-07-27T05:34:00"/>
        <d v="2024-07-27T05:38:00"/>
        <d v="2024-07-27T05:39:00"/>
        <d v="2024-07-27T05:45:00"/>
        <d v="2024-07-27T05:47:00"/>
        <d v="2024-07-27T05:51:00"/>
        <d v="2024-07-27T05:55:00"/>
        <d v="2024-07-27T06:09:00"/>
        <d v="2024-07-27T06:15:00"/>
        <d v="2024-07-27T06:16:00"/>
        <d v="2024-07-27T06:21:00"/>
        <d v="2024-07-27T06:23:00"/>
        <d v="2024-07-27T06:24:00"/>
        <d v="2024-07-27T06:26:00"/>
        <d v="2024-07-27T06:27:00"/>
        <d v="2024-07-27T06:34:00"/>
        <d v="2024-07-27T06:36:00"/>
        <d v="2024-07-27T06:37:00"/>
        <d v="2024-07-27T06:43:00"/>
        <d v="2024-07-27T06:50:00"/>
        <d v="2024-07-27T06:53:00"/>
        <d v="2024-07-27T06:57:00"/>
        <d v="2024-07-27T07:00:00"/>
        <d v="2024-07-27T07:06:00"/>
        <d v="2024-07-27T07:08:00"/>
        <d v="2024-07-27T07:12:00"/>
        <d v="2024-07-27T07:16:00"/>
        <d v="2024-07-27T07:17:00"/>
        <d v="2024-07-27T07:20:00"/>
        <d v="2024-07-27T07:21:00"/>
        <d v="2024-07-27T07:29:00"/>
        <d v="2024-07-27T07:42:00"/>
        <d v="2024-07-27T07:44:00"/>
        <d v="2024-07-27T07:48:00"/>
        <d v="2024-07-27T07:49:00"/>
        <d v="2024-07-27T07:52:00"/>
        <d v="2024-07-27T07:55:00"/>
        <d v="2024-07-27T07:57:00"/>
        <d v="2024-07-27T07:59:00"/>
      </sharedItems>
    </cacheField>
    <cacheField name="Source IP" numFmtId="0">
      <sharedItems count="500">
        <s v="1.63.10.148"/>
        <s v="101.247.148.154"/>
        <s v="101.93.46.70"/>
        <s v="103.184.195.16"/>
        <s v="103.9.62.141"/>
        <s v="104.172.45.65"/>
        <s v="104.237.228.158"/>
        <s v="104.69.188.89"/>
        <s v="104.70.150.241"/>
        <s v="106.8.210.148"/>
        <s v="107.163.181.99"/>
        <s v="107.226.144.243"/>
        <s v="107.56.79.208"/>
        <s v="110.182.226.90"/>
        <s v="110.234.3.239"/>
        <s v="111.183.39.15"/>
        <s v="112.248.70.44"/>
        <s v="112.42.122.90"/>
        <s v="115.103.114.252"/>
        <s v="117.182.224.57"/>
        <s v="117.182.80.83"/>
        <s v="119.12.35.228"/>
        <s v="119.17.45.116"/>
        <s v="120.10.236.177"/>
        <s v="120.42.41.4"/>
        <s v="120.43.9.80"/>
        <s v="122.158.85.21"/>
        <s v="122.8.201.55"/>
        <s v="124.87.83.70"/>
        <s v="125.64.135.15"/>
        <s v="126.106.229.3"/>
        <s v="126.236.155.253"/>
        <s v="126.255.211.45"/>
        <s v="128.111.21.230"/>
        <s v="128.136.137.216"/>
        <s v="128.204.55.159"/>
        <s v="128.86.248.231"/>
        <s v="128.91.215.23"/>
        <s v="129.39.102.104"/>
        <s v="129.81.213.89"/>
        <s v="13.123.242.240"/>
        <s v="13.154.41.15"/>
        <s v="13.165.34.170"/>
        <s v="130.10.215.184"/>
        <s v="130.168.222.228"/>
        <s v="131.197.240.77"/>
        <s v="132.124.207.30"/>
        <s v="132.147.212.98"/>
        <s v="132.208.143.126"/>
        <s v="133.146.32.96"/>
        <s v="133.185.53.169"/>
        <s v="133.204.16.124"/>
        <s v="133.85.237.167"/>
        <s v="134.140.2.88"/>
        <s v="134.35.9.224"/>
        <s v="135.141.38.101"/>
        <s v="135.17.182.182"/>
        <s v="136.240.24.32"/>
        <s v="136.91.182.96"/>
        <s v="137.157.80.123"/>
        <s v="137.178.234.248"/>
        <s v="137.8.21.24"/>
        <s v="138.126.226.154"/>
        <s v="138.236.84.12"/>
        <s v="14.85.212.156"/>
        <s v="140.170.161.203"/>
        <s v="140.206.154.137"/>
        <s v="140.247.94.16"/>
        <s v="140.59.218.184"/>
        <s v="141.226.72.247"/>
        <s v="142.238.38.5"/>
        <s v="142.85.173.170"/>
        <s v="142.9.234.6"/>
        <s v="143.10.104.116"/>
        <s v="143.15.110.60"/>
        <s v="143.158.96.45"/>
        <s v="143.24.190.23"/>
        <s v="144.230.85.0"/>
        <s v="144.233.157.89"/>
        <s v="145.49.55.26"/>
        <s v="146.179.241.175"/>
        <s v="146.214.17.81"/>
        <s v="146.9.29.225"/>
        <s v="147.137.239.101"/>
        <s v="147.148.211.46"/>
        <s v="147.34.187.245"/>
        <s v="148.114.197.165"/>
        <s v="148.200.223.223"/>
        <s v="148.202.109.12"/>
        <s v="148.32.189.225"/>
        <s v="149.0.25.195"/>
        <s v="149.105.216.106"/>
        <s v="149.235.38.127"/>
        <s v="149.33.25.135"/>
        <s v="15.93.32.89"/>
        <s v="150.12.250.15"/>
        <s v="151.14.59.199"/>
        <s v="151.238.92.199"/>
        <s v="152.122.252.135"/>
        <s v="153.228.90.47"/>
        <s v="153.252.144.4"/>
        <s v="153.7.113.199"/>
        <s v="154.139.25.137"/>
        <s v="154.156.197.188"/>
        <s v="154.161.118.206"/>
        <s v="154.190.202.92"/>
        <s v="154.3.207.67"/>
        <s v="155.172.127.26"/>
        <s v="155.68.117.3"/>
        <s v="156.16.32.110"/>
        <s v="156.160.171.15"/>
        <s v="156.39.40.220"/>
        <s v="156.43.246.135"/>
        <s v="156.57.15.38"/>
        <s v="158.254.9.84"/>
        <s v="159.141.181.64"/>
        <s v="159.149.169.49"/>
        <s v="159.54.213.63"/>
        <s v="159.76.146.2"/>
        <s v="16.178.4.56"/>
        <s v="16.27.149.207"/>
        <s v="16.8.249.179"/>
        <s v="160.13.109.89"/>
        <s v="160.248.196.5"/>
        <s v="161.118.134.247"/>
        <s v="161.202.191.28"/>
        <s v="161.65.237.241"/>
        <s v="162.119.88.87"/>
        <s v="162.125.121.89"/>
        <s v="162.155.232.98"/>
        <s v="162.201.190.115"/>
        <s v="162.210.170.206"/>
        <s v="162.218.67.47"/>
        <s v="162.84.209.94"/>
        <s v="163.14.205.12"/>
        <s v="163.143.191.151"/>
        <s v="163.149.51.34"/>
        <s v="163.241.195.23"/>
        <s v="164.109.241.71"/>
        <s v="164.116.153.211"/>
        <s v="164.117.107.24"/>
        <s v="164.60.100.198"/>
        <s v="165.249.34.194"/>
        <s v="166.122.121.18"/>
        <s v="166.179.215.75"/>
        <s v="166.209.25.226"/>
        <s v="166.72.80.181"/>
        <s v="166.99.173.197"/>
        <s v="168.132.90.177"/>
        <s v="168.159.125.58"/>
        <s v="168.216.188.76"/>
        <s v="168.41.228.120"/>
        <s v="169.50.141.7"/>
        <s v="170.199.148.204"/>
        <s v="170.216.24.233"/>
        <s v="170.240.244.156"/>
        <s v="171.101.83.156"/>
        <s v="171.146.52.98"/>
        <s v="171.161.206.177"/>
        <s v="171.80.243.160"/>
        <s v="173.36.176.240"/>
        <s v="174.191.81.42"/>
        <s v="174.198.109.83"/>
        <s v="174.50.149.122"/>
        <s v="175.115.186.38"/>
        <s v="175.231.70.113"/>
        <s v="176.112.173.146"/>
        <s v="176.92.106.160"/>
        <s v="177.12.10.119"/>
        <s v="177.174.246.195"/>
        <s v="177.49.35.51"/>
        <s v="177.87.60.192"/>
        <s v="178.170.167.214"/>
        <s v="178.197.130.45"/>
        <s v="178.52.167.143"/>
        <s v="179.155.123.137"/>
        <s v="179.25.40.161"/>
        <s v="181.105.71.103"/>
        <s v="181.28.133.82"/>
        <s v="182.206.88.35"/>
        <s v="182.6.231.79"/>
        <s v="183.0.147.170"/>
        <s v="183.11.139.72"/>
        <s v="183.135.82.219"/>
        <s v="183.144.58.157"/>
        <s v="183.16.219.72"/>
        <s v="184.127.124.110"/>
        <s v="184.235.138.82"/>
        <s v="186.39.241.206"/>
        <s v="186.63.218.185"/>
        <s v="186.91.126.201"/>
        <s v="186.93.172.38"/>
        <s v="187.158.179.3"/>
        <s v="187.203.185.222"/>
        <s v="187.73.42.216"/>
        <s v="188.172.221.48"/>
        <s v="188.20.226.186"/>
        <s v="188.42.74.174"/>
        <s v="188.58.232.131"/>
        <s v="189.10.139.93"/>
        <s v="190.113.4.128"/>
        <s v="190.28.81.126"/>
        <s v="191.216.213.2"/>
        <s v="191.232.159.225"/>
        <s v="192.10.64.74"/>
        <s v="192.141.7.41"/>
        <s v="192.160.221.242"/>
        <s v="192.187.80.196"/>
        <s v="192.192.227.69"/>
        <s v="192.209.78.30"/>
        <s v="192.57.197.44"/>
        <s v="193.160.188.17"/>
        <s v="193.174.17.207"/>
        <s v="193.183.106.92"/>
        <s v="193.36.80.164"/>
        <s v="193.59.220.90"/>
        <s v="193.97.18.128"/>
        <s v="194.128.199.154"/>
        <s v="194.62.246.177"/>
        <s v="194.88.103.180"/>
        <s v="195.136.104.156"/>
        <s v="195.173.232.181"/>
        <s v="195.196.109.248"/>
        <s v="195.2.216.87"/>
        <s v="195.225.34.8"/>
        <s v="195.6.18.107"/>
        <s v="196.107.38.241"/>
        <s v="196.15.206.239"/>
        <s v="196.165.67.25"/>
        <s v="196.179.33.234"/>
        <s v="196.208.97.58"/>
        <s v="197.132.48.142"/>
        <s v="197.135.250.6"/>
        <s v="197.138.107.120"/>
        <s v="197.158.164.26"/>
        <s v="197.178.109.116"/>
        <s v="197.243.243.249"/>
        <s v="197.247.113.78"/>
        <s v="198.100.28.118"/>
        <s v="198.11.241.40"/>
        <s v="198.119.56.60"/>
        <s v="198.167.108.150"/>
        <s v="198.186.113.224"/>
        <s v="198.45.144.201"/>
        <s v="199.108.127.147"/>
        <s v="199.18.18.226"/>
        <s v="199.203.170.81"/>
        <s v="199.241.122.95"/>
        <s v="2.136.170.245"/>
        <s v="2.173.7.150"/>
        <s v="200.0.109.130"/>
        <s v="200.155.32.171"/>
        <s v="200.228.154.27"/>
        <s v="200.236.195.46"/>
        <s v="200.90.216.114"/>
        <s v="201.149.158.14"/>
        <s v="201.183.175.83"/>
        <s v="201.186.81.51"/>
        <s v="201.24.37.127"/>
        <s v="201.251.197.64"/>
        <s v="201.51.177.68"/>
        <s v="201.85.170.184"/>
        <s v="202.105.236.180"/>
        <s v="202.140.123.134"/>
        <s v="202.188.116.28"/>
        <s v="202.32.114.229"/>
        <s v="202.48.119.84"/>
        <s v="202.5.170.165"/>
        <s v="202.79.31.59"/>
        <s v="203.193.239.42"/>
        <s v="203.233.58.160"/>
        <s v="203.240.116.158"/>
        <s v="203.60.25.250"/>
        <s v="203.68.27.11"/>
        <s v="204.107.207.118"/>
        <s v="204.176.52.144"/>
        <s v="204.200.145.247"/>
        <s v="204.46.36.173"/>
        <s v="204.72.143.171"/>
        <s v="205.127.4.9"/>
        <s v="205.146.219.233"/>
        <s v="205.17.195.165"/>
        <s v="205.74.197.129"/>
        <s v="206.143.165.40"/>
        <s v="206.144.196.69"/>
        <s v="206.172.134.154"/>
        <s v="206.2.169.77"/>
        <s v="206.234.151.195"/>
        <s v="206.40.96.158"/>
        <s v="206.78.227.14"/>
        <s v="207.130.44.68"/>
        <s v="207.161.15.183"/>
        <s v="207.181.38.36"/>
        <s v="207.20.47.162"/>
        <s v="207.35.147.199"/>
        <s v="207.91.133.40"/>
        <s v="208.177.154.103"/>
        <s v="208.18.30.246"/>
        <s v="208.206.233.119"/>
        <s v="208.255.40.49"/>
        <s v="208.41.239.74"/>
        <s v="208.83.17.157"/>
        <s v="209.163.211.188"/>
        <s v="209.169.167.99"/>
        <s v="209.177.163.95"/>
        <s v="209.197.123.142"/>
        <s v="209.243.136.55"/>
        <s v="209.25.73.8"/>
        <s v="209.46.171.221"/>
        <s v="209.81.207.45"/>
        <s v="210.107.159.203"/>
        <s v="210.185.114.161"/>
        <s v="210.213.100.141"/>
        <s v="210.31.174.13"/>
        <s v="210.72.160.215"/>
        <s v="211.175.35.234"/>
        <s v="211.214.8.150"/>
        <s v="211.247.205.128"/>
        <s v="211.42.73.71"/>
        <s v="211.59.0.230"/>
        <s v="211.91.225.13"/>
        <s v="212.103.89.89"/>
        <s v="212.111.69.174"/>
        <s v="212.18.155.97"/>
        <s v="212.2.137.31"/>
        <s v="212.218.213.154"/>
        <s v="212.7.221.69"/>
        <s v="213.106.36.197"/>
        <s v="213.194.235.21"/>
        <s v="213.237.0.213"/>
        <s v="213.239.124.209"/>
        <s v="213.254.58.23"/>
        <s v="214.148.246.206"/>
        <s v="214.172.221.176"/>
        <s v="214.204.179.97"/>
        <s v="214.235.105.17"/>
        <s v="214.251.66.12"/>
        <s v="214.255.66.56"/>
        <s v="214.40.196.152"/>
        <s v="214.57.37.97"/>
        <s v="214.81.230.153"/>
        <s v="215.134.71.52"/>
        <s v="215.162.235.117"/>
        <s v="215.171.147.136"/>
        <s v="215.187.182.248"/>
        <s v="215.246.62.201"/>
        <s v="215.76.87.230"/>
        <s v="216.107.231.245"/>
        <s v="216.116.70.11"/>
        <s v="216.15.17.121"/>
        <s v="216.167.152.180"/>
        <s v="216.254.167.41"/>
        <s v="216.4.89.91"/>
        <s v="216.76.23.105"/>
        <s v="216.95.39.201"/>
        <s v="217.223.87.240"/>
        <s v="217.23.143.247"/>
        <s v="217.66.145.151"/>
        <s v="218.125.184.24"/>
        <s v="218.136.238.11"/>
        <s v="218.189.140.29"/>
        <s v="218.19.27.67"/>
        <s v="218.216.218.197"/>
        <s v="218.24.91.101"/>
        <s v="218.254.127.206"/>
        <s v="218.69.153.234"/>
        <s v="218.70.141.204"/>
        <s v="219.102.242.182"/>
        <s v="219.155.52.167"/>
        <s v="219.44.77.42"/>
        <s v="219.84.173.235"/>
        <s v="220.2.230.66"/>
        <s v="220.224.190.172"/>
        <s v="221.122.107.248"/>
        <s v="221.207.247.202"/>
        <s v="221.229.226.127"/>
        <s v="221.96.100.192"/>
        <s v="222.10.87.4"/>
        <s v="222.140.66.246"/>
        <s v="222.157.67.46"/>
        <s v="222.169.165.137"/>
        <s v="222.231.242.32"/>
        <s v="222.233.50.76"/>
        <s v="222.82.133.137"/>
        <s v="223.100.222.141"/>
        <s v="223.159.153.139"/>
        <s v="223.174.217.144"/>
        <s v="223.175.47.134"/>
        <s v="223.231.141.23"/>
        <s v="223.231.81.3"/>
        <s v="223.29.31.224"/>
        <s v="223.69.124.126"/>
        <s v="23.201.85.114"/>
        <s v="23.227.100.56"/>
        <s v="23.252.99.169"/>
        <s v="25.112.90.196"/>
        <s v="25.193.87.142"/>
        <s v="26.197.168.103"/>
        <s v="26.40.69.194"/>
        <s v="27.126.234.54"/>
        <s v="28.152.75.111"/>
        <s v="28.233.145.239"/>
        <s v="29.104.26.128"/>
        <s v="29.201.77.107"/>
        <s v="29.219.129.43"/>
        <s v="3.81.109.228"/>
        <s v="31.17.67.226"/>
        <s v="32.118.64.109"/>
        <s v="32.79.29.225"/>
        <s v="33.139.136.48"/>
        <s v="33.238.139.126"/>
        <s v="34.179.220.136"/>
        <s v="36.191.52.102"/>
        <s v="37.217.183.176"/>
        <s v="38.248.141.230"/>
        <s v="38.86.222.143"/>
        <s v="39.205.132.14"/>
        <s v="39.64.182.170"/>
        <s v="40.14.72.28"/>
        <s v="40.59.161.231"/>
        <s v="40.87.21.252"/>
        <s v="41.146.229.179"/>
        <s v="41.66.47.248"/>
        <s v="42.50.18.53"/>
        <s v="43.80.225.146"/>
        <s v="44.240.62.75"/>
        <s v="44.97.239.133"/>
        <s v="45.188.11.136"/>
        <s v="45.57.27.69"/>
        <s v="47.115.158.4"/>
        <s v="47.47.212.4"/>
        <s v="48.181.17.125"/>
        <s v="5.250.155.205"/>
        <s v="5.62.70.78"/>
        <s v="50.29.253.254"/>
        <s v="53.164.13.68"/>
        <s v="54.11.159.152"/>
        <s v="55.169.77.125"/>
        <s v="56.110.141.22"/>
        <s v="56.110.75.151"/>
        <s v="56.12.122.244"/>
        <s v="56.181.248.0"/>
        <s v="56.209.132.110"/>
        <s v="59.118.223.179"/>
        <s v="59.27.215.112"/>
        <s v="60.30.66.212"/>
        <s v="61.177.137.236"/>
        <s v="63.11.204.41"/>
        <s v="63.18.145.73"/>
        <s v="64.136.97.167"/>
        <s v="66.116.71.125"/>
        <s v="66.122.79.55"/>
        <s v="67.155.174.206"/>
        <s v="67.97.139.14"/>
        <s v="68.130.153.220"/>
        <s v="68.165.162.84"/>
        <s v="68.175.13.133"/>
        <s v="70.100.172.193"/>
        <s v="71.46.158.34"/>
        <s v="71.64.143.159"/>
        <s v="72.134.186.237"/>
        <s v="72.86.105.244"/>
        <s v="74.150.126.51"/>
        <s v="75.95.167.231"/>
        <s v="77.28.225.17"/>
        <s v="78.215.134.149"/>
        <s v="78.57.173.57"/>
        <s v="79.109.30.140"/>
        <s v="79.95.22.225"/>
        <s v="8.237.3.103"/>
        <s v="80.143.223.138"/>
        <s v="80.192.82.217"/>
        <s v="82.101.194.160"/>
        <s v="82.125.80.195"/>
        <s v="82.212.176.252"/>
        <s v="82.41.204.81"/>
        <s v="82.52.1.168"/>
        <s v="83.43.235.213"/>
        <s v="83.99.133.54"/>
        <s v="85.190.6.24"/>
        <s v="86.22.89.37"/>
        <s v="88.239.163.242"/>
        <s v="88.87.197.42"/>
        <s v="91.117.72.15"/>
        <s v="91.140.181.103"/>
        <s v="91.6.185.161"/>
        <s v="91.81.12.135"/>
        <s v="92.100.8.18"/>
        <s v="92.54.240.207"/>
        <s v="93.219.2.142"/>
        <s v="96.145.116.14"/>
        <s v="96.42.122.0"/>
        <s v="96.72.196.120"/>
        <s v="97.101.244.199"/>
        <s v="97.128.123.163"/>
        <s v="98.83.50.31"/>
        <s v="99.119.212.59"/>
        <s v="99.158.149.24"/>
        <s v="99.195.238.47"/>
        <s v="99.72.223.82"/>
      </sharedItems>
    </cacheField>
    <cacheField name="Destination IP" numFmtId="0">
      <sharedItems count="500">
        <s v="1.237.84.18"/>
        <s v="101.11.66.216"/>
        <s v="101.175.137.182"/>
        <s v="101.87.94.126"/>
        <s v="102.193.119.97"/>
        <s v="102.255.217.218"/>
        <s v="104.218.197.222"/>
        <s v="104.220.172.94"/>
        <s v="104.56.26.97"/>
        <s v="106.150.112.20"/>
        <s v="106.212.157.127"/>
        <s v="107.181.47.80"/>
        <s v="107.205.119.122"/>
        <s v="107.69.220.189"/>
        <s v="108.144.140.168"/>
        <s v="108.195.76.196"/>
        <s v="109.10.113.133"/>
        <s v="109.229.122.21"/>
        <s v="109.237.49.7"/>
        <s v="110.206.135.57"/>
        <s v="111.85.108.88"/>
        <s v="112.170.57.59"/>
        <s v="112.204.17.82"/>
        <s v="115.16.192.69"/>
        <s v="115.250.80.124"/>
        <s v="116.144.60.180"/>
        <s v="116.21.213.230"/>
        <s v="117.73.233.235"/>
        <s v="118.117.70.153"/>
        <s v="118.147.103.121"/>
        <s v="120.180.113.178"/>
        <s v="121.104.156.213"/>
        <s v="122.104.130.0"/>
        <s v="122.175.139.203"/>
        <s v="123.115.171.59"/>
        <s v="123.152.24.4"/>
        <s v="123.174.236.12"/>
        <s v="124.180.63.154"/>
        <s v="125.147.43.33"/>
        <s v="125.59.206.158"/>
        <s v="126.63.54.86"/>
        <s v="128.79.214.235"/>
        <s v="13.96.174.3"/>
        <s v="130.2.71.169"/>
        <s v="131.111.199.104"/>
        <s v="131.230.60.193"/>
        <s v="132.228.238.214"/>
        <s v="132.70.208.95"/>
        <s v="132.95.71.197"/>
        <s v="133.120.151.165"/>
        <s v="133.140.168.251"/>
        <s v="133.46.194.98"/>
        <s v="133.85.75.26"/>
        <s v="134.206.241.4"/>
        <s v="134.250.240.253"/>
        <s v="135.140.188.210"/>
        <s v="135.180.45.181"/>
        <s v="136.143.252.97"/>
        <s v="136.152.218.4"/>
        <s v="136.4.82.51"/>
        <s v="136.68.125.117"/>
        <s v="137.181.15.22"/>
        <s v="137.209.228.80"/>
        <s v="138.120.159.88"/>
        <s v="138.135.96.67"/>
        <s v="138.71.91.235"/>
        <s v="139.135.112.124"/>
        <s v="139.180.238.114"/>
        <s v="139.202.45.169"/>
        <s v="139.252.71.146"/>
        <s v="139.44.4.176"/>
        <s v="140.160.75.56"/>
        <s v="140.171.245.161"/>
        <s v="140.235.78.213"/>
        <s v="140.63.231.181"/>
        <s v="141.171.129.255"/>
        <s v="141.190.182.14"/>
        <s v="141.252.108.87"/>
        <s v="141.254.181.12"/>
        <s v="141.81.144.212"/>
        <s v="141.82.39.224"/>
        <s v="142.221.167.65"/>
        <s v="142.64.35.209"/>
        <s v="142.96.10.144"/>
        <s v="143.11.81.7"/>
        <s v="143.190.95.165"/>
        <s v="143.245.88.106"/>
        <s v="144.226.3.103"/>
        <s v="144.56.122.122"/>
        <s v="145.155.171.158"/>
        <s v="146.135.3.233"/>
        <s v="146.187.152.244"/>
        <s v="146.2.95.117"/>
        <s v="146.247.239.174"/>
        <s v="147.24.165.54"/>
        <s v="147.58.89.110"/>
        <s v="147.93.227.152"/>
        <s v="147.96.170.241"/>
        <s v="148.143.193.206"/>
        <s v="148.153.161.4"/>
        <s v="148.18.254.24"/>
        <s v="148.6.61.123"/>
        <s v="149.112.129.17"/>
        <s v="149.29.67.20"/>
        <s v="150.163.150.138"/>
        <s v="150.209.132.14"/>
        <s v="150.250.69.145"/>
        <s v="150.50.141.141"/>
        <s v="150.8.121.88"/>
        <s v="151.112.41.179"/>
        <s v="151.138.146.70"/>
        <s v="151.40.120.56"/>
        <s v="152.196.160.20"/>
        <s v="153.197.106.147"/>
        <s v="154.118.7.33"/>
        <s v="154.47.94.197"/>
        <s v="155.129.62.23"/>
        <s v="156.108.150.205"/>
        <s v="156.148.22.90"/>
        <s v="156.45.7.47"/>
        <s v="156.71.27.235"/>
        <s v="157.196.136.74"/>
        <s v="157.231.95.102"/>
        <s v="157.241.110.89"/>
        <s v="158.105.187.132"/>
        <s v="158.254.158.187"/>
        <s v="158.94.84.206"/>
        <s v="159.136.203.192"/>
        <s v="159.173.153.175"/>
        <s v="16.198.162.197"/>
        <s v="160.93.30.38"/>
        <s v="161.18.35.138"/>
        <s v="161.236.218.190"/>
        <s v="162.215.17.142"/>
        <s v="162.237.64.227"/>
        <s v="162.251.37.238"/>
        <s v="162.34.43.250"/>
        <s v="163.237.115.117"/>
        <s v="163.47.217.219"/>
        <s v="164.103.25.100"/>
        <s v="164.214.7.122"/>
        <s v="164.27.86.75"/>
        <s v="164.40.215.41"/>
        <s v="164.62.157.135"/>
        <s v="164.91.228.78"/>
        <s v="166.232.121.144"/>
        <s v="166.243.137.23"/>
        <s v="167.156.221.186"/>
        <s v="167.171.194.36"/>
        <s v="167.78.32.128"/>
        <s v="168.192.136.127"/>
        <s v="169.108.234.42"/>
        <s v="169.191.230.166"/>
        <s v="169.242.202.164"/>
        <s v="169.89.37.195"/>
        <s v="169.93.182.72"/>
        <s v="169.94.133.51"/>
        <s v="17.55.252.37"/>
        <s v="170.166.81.58"/>
        <s v="170.80.122.70"/>
        <s v="170.9.167.77"/>
        <s v="171.225.106.139"/>
        <s v="171.233.68.6"/>
        <s v="172.12.232.217"/>
        <s v="173.0.101.38"/>
        <s v="173.103.70.89"/>
        <s v="174.57.37.123"/>
        <s v="175.57.177.74"/>
        <s v="176.106.55.147"/>
        <s v="176.11.20.14"/>
        <s v="176.150.114.2"/>
        <s v="176.187.9.201"/>
        <s v="176.212.165.119"/>
        <s v="176.75.90.26"/>
        <s v="177.152.78.73"/>
        <s v="178.233.78.7"/>
        <s v="178.67.65.147"/>
        <s v="179.169.49.104"/>
        <s v="179.208.234.159"/>
        <s v="179.213.239.231"/>
        <s v="179.236.40.164"/>
        <s v="179.243.54.45"/>
        <s v="179.74.81.85"/>
        <s v="18.241.185.254"/>
        <s v="180.127.47.239"/>
        <s v="180.177.244.192"/>
        <s v="180.220.194.187"/>
        <s v="181.104.219.238"/>
        <s v="181.157.194.6"/>
        <s v="181.195.174.12"/>
        <s v="183.159.130.24"/>
        <s v="183.81.108.5"/>
        <s v="184.179.248.73"/>
        <s v="184.60.170.200"/>
        <s v="185.207.87.67"/>
        <s v="185.221.23.208"/>
        <s v="185.27.172.115"/>
        <s v="186.140.29.43"/>
        <s v="186.195.199.86"/>
        <s v="187.137.90.93"/>
        <s v="187.181.210.161"/>
        <s v="187.27.103.237"/>
        <s v="188.248.41.200"/>
        <s v="188.90.166.121"/>
        <s v="189.96.216.22"/>
        <s v="190.196.119.246"/>
        <s v="190.251.64.1"/>
        <s v="190.82.159.62"/>
        <s v="191.219.192.246"/>
        <s v="192.0.154.129"/>
        <s v="192.145.176.56"/>
        <s v="192.244.145.99"/>
        <s v="192.31.77.11"/>
        <s v="192.78.5.163"/>
        <s v="193.41.154.155"/>
        <s v="193.46.130.120"/>
        <s v="194.116.124.8"/>
        <s v="194.142.95.137"/>
        <s v="194.191.216.39"/>
        <s v="194.23.218.61"/>
        <s v="194.53.220.195"/>
        <s v="194.71.234.207"/>
        <s v="195.177.50.152"/>
        <s v="195.182.143.37"/>
        <s v="195.48.191.34"/>
        <s v="196.116.248.51"/>
        <s v="196.86.36.153"/>
        <s v="197.14.34.219"/>
        <s v="197.33.204.190"/>
        <s v="198.103.35.214"/>
        <s v="198.113.225.69"/>
        <s v="198.138.248.98"/>
        <s v="198.154.135.213"/>
        <s v="198.221.162.253"/>
        <s v="198.54.119.236"/>
        <s v="199.110.220.214"/>
        <s v="199.142.189.34"/>
        <s v="199.147.254.63"/>
        <s v="199.240.97.102"/>
        <s v="199.64.32.13"/>
        <s v="199.83.205.134"/>
        <s v="2.128.130.85"/>
        <s v="2.141.48.111"/>
        <s v="2.176.218.71"/>
        <s v="2.208.65.164"/>
        <s v="2.48.236.161"/>
        <s v="20.200.246.197"/>
        <s v="200.146.202.41"/>
        <s v="200.180.6.108"/>
        <s v="200.84.51.240"/>
        <s v="201.120.152.88"/>
        <s v="201.127.158.127"/>
        <s v="201.135.165.158"/>
        <s v="201.146.46.28"/>
        <s v="201.152.109.83"/>
        <s v="201.65.156.49"/>
        <s v="201.78.50.74"/>
        <s v="201.99.22.125"/>
        <s v="202.161.66.88"/>
        <s v="202.163.149.114"/>
        <s v="202.195.137.164"/>
        <s v="202.201.148.211"/>
        <s v="202.245.62.200"/>
        <s v="202.26.78.173"/>
        <s v="202.27.254.188"/>
        <s v="202.46.27.96"/>
        <s v="203.165.31.79"/>
        <s v="203.172.133.246"/>
        <s v="203.179.155.26"/>
        <s v="204.127.245.220"/>
        <s v="204.140.166.136"/>
        <s v="204.150.39.38"/>
        <s v="204.177.153.122"/>
        <s v="204.63.169.192"/>
        <s v="204.72.239.118"/>
        <s v="204.77.104.197"/>
        <s v="205.101.119.170"/>
        <s v="205.248.54.8"/>
        <s v="206.114.41.134"/>
        <s v="206.138.128.175"/>
        <s v="206.171.92.25"/>
        <s v="206.185.104.44"/>
        <s v="206.196.63.183"/>
        <s v="206.200.141.221"/>
        <s v="206.218.54.195"/>
        <s v="206.32.118.1"/>
        <s v="206.44.102.251"/>
        <s v="206.59.198.179"/>
        <s v="206.77.136.133"/>
        <s v="206.89.221.138"/>
        <s v="206.94.109.73"/>
        <s v="207.10.68.89"/>
        <s v="207.20.119.112"/>
        <s v="207.207.135.192"/>
        <s v="207.29.186.8"/>
        <s v="207.9.22.169"/>
        <s v="208.212.189.68"/>
        <s v="208.212.55.31"/>
        <s v="208.80.15.18"/>
        <s v="209.151.241.167"/>
        <s v="209.22.215.144"/>
        <s v="209.240.130.130"/>
        <s v="209.34.22.217"/>
        <s v="209.58.28.19"/>
        <s v="209.86.153.58"/>
        <s v="21.121.113.151"/>
        <s v="210.149.18.203"/>
        <s v="210.181.166.204"/>
        <s v="210.205.16.28"/>
        <s v="210.53.251.233"/>
        <s v="211.13.31.39"/>
        <s v="211.195.23.149"/>
        <s v="211.214.2.101"/>
        <s v="211.30.118.51"/>
        <s v="212.196.76.74"/>
        <s v="212.203.42.127"/>
        <s v="212.208.76.187"/>
        <s v="213.138.208.254"/>
        <s v="213.52.118.20"/>
        <s v="213.52.135.61"/>
        <s v="213.68.74.136"/>
        <s v="214.122.56.172"/>
        <s v="214.134.251.92"/>
        <s v="214.188.175.121"/>
        <s v="214.35.208.25"/>
        <s v="214.94.208.178"/>
        <s v="215.138.149.172"/>
        <s v="215.169.251.62"/>
        <s v="215.32.108.77"/>
        <s v="215.47.163.208"/>
        <s v="215.49.5.179"/>
        <s v="215.5.5.24"/>
        <s v="215.78.216.220"/>
        <s v="216.116.176.41"/>
        <s v="216.161.85.130"/>
        <s v="216.165.227.26"/>
        <s v="216.167.107.189"/>
        <s v="216.186.247.177"/>
        <s v="216.2.186.60"/>
        <s v="216.243.90.138"/>
        <s v="217.144.85.4"/>
        <s v="217.15.131.234"/>
        <s v="217.236.72.161"/>
        <s v="217.30.131.129"/>
        <s v="217.42.58.198"/>
        <s v="218.191.29.24"/>
        <s v="218.197.188.243"/>
        <s v="218.6.66.58"/>
        <s v="218.96.178.17"/>
        <s v="219.111.79.49"/>
        <s v="219.129.222.91"/>
        <s v="219.149.147.227"/>
        <s v="219.170.9.54"/>
        <s v="219.238.35.196"/>
        <s v="219.238.36.30"/>
        <s v="219.248.153.75"/>
        <s v="219.43.84.39"/>
        <s v="219.62.222.99"/>
        <s v="22.154.144.227"/>
        <s v="22.54.145.251"/>
        <s v="220.120.137.73"/>
        <s v="220.215.168.11"/>
        <s v="220.50.209.229"/>
        <s v="221.116.18.160"/>
        <s v="221.145.90.64"/>
        <s v="221.69.246.227"/>
        <s v="222.10.109.190"/>
        <s v="222.89.112.252"/>
        <s v="222.90.155.35"/>
        <s v="223.156.197.235"/>
        <s v="223.191.255.196"/>
        <s v="223.44.2.58"/>
        <s v="223.58.61.18"/>
        <s v="223.58.93.136"/>
        <s v="23.69.186.142"/>
        <s v="24.140.49.247"/>
        <s v="24.232.198.232"/>
        <s v="24.83.39.231"/>
        <s v="25.168.145.148"/>
        <s v="26.112.160.122"/>
        <s v="26.80.211.107"/>
        <s v="27.135.128.206"/>
        <s v="27.189.131.56"/>
        <s v="27.212.128.209"/>
        <s v="27.30.152.19"/>
        <s v="28.149.80.100"/>
        <s v="29.106.108.248"/>
        <s v="29.128.148.61"/>
        <s v="3.108.162.146"/>
        <s v="3.213.119.88"/>
        <s v="3.249.53.250"/>
        <s v="3.4.202.93"/>
        <s v="30.53.25.79"/>
        <s v="31.185.104.246"/>
        <s v="31.39.94.129"/>
        <s v="31.60.230.181"/>
        <s v="32.232.183.103"/>
        <s v="33.206.125.211"/>
        <s v="34.102.35.187"/>
        <s v="34.83.118.72"/>
        <s v="35.129.29.58"/>
        <s v="35.75.56.201"/>
        <s v="36.20.116.93"/>
        <s v="37.17.225.102"/>
        <s v="37.218.111.7"/>
        <s v="37.241.206.6"/>
        <s v="37.57.56.29"/>
        <s v="37.88.79.11"/>
        <s v="38.11.253.31"/>
        <s v="38.163.214.240"/>
        <s v="38.234.231.207"/>
        <s v="4.165.147.201"/>
        <s v="40.183.216.209"/>
        <s v="42.202.77.61"/>
        <s v="44.124.246.82"/>
        <s v="45.93.114.221"/>
        <s v="46.2.247.107"/>
        <s v="48.137.207.241"/>
        <s v="48.154.71.251"/>
        <s v="5.9.172.195"/>
        <s v="50.238.94.157"/>
        <s v="50.53.204.171"/>
        <s v="51.144.75.244"/>
        <s v="51.180.221.25"/>
        <s v="51.95.14.179"/>
        <s v="52.157.37.243"/>
        <s v="52.49.31.173"/>
        <s v="52.69.23.130"/>
        <s v="55.113.177.121"/>
        <s v="55.117.132.223"/>
        <s v="55.48.165.136"/>
        <s v="55.58.195.96"/>
        <s v="56.208.225.253"/>
        <s v="56.53.194.135"/>
        <s v="56.92.184.16"/>
        <s v="60.236.167.65"/>
        <s v="60.49.230.114"/>
        <s v="60.76.163.197"/>
        <s v="61.178.36.221"/>
        <s v="61.36.22.112"/>
        <s v="61.9.75.54"/>
        <s v="62.81.173.137"/>
        <s v="65.199.201.123"/>
        <s v="65.204.31.182"/>
        <s v="66.109.89.114"/>
        <s v="66.200.180.12"/>
        <s v="67.126.117.244"/>
        <s v="67.133.212.174"/>
        <s v="68.160.226.82"/>
        <s v="7.114.60.212"/>
        <s v="7.90.95.54"/>
        <s v="71.202.245.83"/>
        <s v="71.65.44.24"/>
        <s v="73.201.33.65"/>
        <s v="74.141.19.201"/>
        <s v="74.45.222.214"/>
        <s v="74.78.86.172"/>
        <s v="75.113.171.224"/>
        <s v="75.52.184.247"/>
        <s v="76.156.96.42"/>
        <s v="76.39.250.19"/>
        <s v="77.10.125.205"/>
        <s v="77.186.246.217"/>
        <s v="78.216.1.241"/>
        <s v="79.119.246.128"/>
        <s v="79.160.29.44"/>
        <s v="79.209.140.184"/>
        <s v="79.37.130.211"/>
        <s v="79.43.113.155"/>
        <s v="8.172.22.232"/>
        <s v="8.173.255.183"/>
        <s v="8.94.13.213"/>
        <s v="80.225.45.248"/>
        <s v="80.241.58.78"/>
        <s v="81.189.112.173"/>
        <s v="81.21.31.115"/>
        <s v="81.66.99.52"/>
        <s v="82.109.23.52"/>
        <s v="82.156.44.93"/>
        <s v="83.104.253.135"/>
        <s v="83.145.193.168"/>
        <s v="83.78.37.255"/>
        <s v="86.111.230.132"/>
        <s v="88.14.36.255"/>
        <s v="89.183.81.86"/>
        <s v="89.241.108.8"/>
        <s v="90.149.220.39"/>
        <s v="90.58.156.25"/>
        <s v="92.251.87.8"/>
        <s v="93.127.78.63"/>
        <s v="93.199.138.13"/>
        <s v="94.245.119.86"/>
        <s v="96.191.118.157"/>
        <s v="97.111.20.245"/>
        <s v="97.236.125.45"/>
        <s v="98.169.219.115"/>
        <s v="98.169.58.91"/>
        <s v="98.80.251.230"/>
        <s v="99.166.170.128"/>
        <s v="99.67.238.236"/>
      </sharedItems>
    </cacheField>
    <cacheField name="Port" numFmtId="0">
      <sharedItems count="498">
        <s v="10011"/>
        <s v="10217"/>
        <s v="10237"/>
        <s v="10555"/>
        <s v="10588"/>
        <s v="1064"/>
        <s v="10792"/>
        <s v="10804"/>
        <s v="1084"/>
        <s v="10907"/>
        <s v="11033"/>
        <s v="11196"/>
        <s v="11218"/>
        <s v="11348"/>
        <s v="11490"/>
        <s v="11683"/>
        <s v="11724"/>
        <s v="1192"/>
        <s v="11996"/>
        <s v="12025"/>
        <s v="12031"/>
        <s v="12041"/>
        <s v="12095"/>
        <s v="12393"/>
        <s v="13243"/>
        <s v="13247"/>
        <s v="13384"/>
        <s v="13420"/>
        <s v="13474"/>
        <s v="13526"/>
        <s v="13635"/>
        <s v="13766"/>
        <s v="13767"/>
        <s v="13929"/>
        <s v="13959"/>
        <s v="14016"/>
        <s v="14111"/>
        <s v="14658"/>
        <s v="14685"/>
        <s v="14754"/>
        <s v="14926"/>
        <s v="15326"/>
        <s v="15381"/>
        <s v="15495"/>
        <s v="15684"/>
        <s v="15733"/>
        <s v="16073"/>
        <s v="16188"/>
        <s v="16352"/>
        <s v="16714"/>
        <s v="16832"/>
        <s v="17108"/>
        <s v="17154"/>
        <s v="17441"/>
        <s v="17516"/>
        <s v="17610"/>
        <s v="17688"/>
        <s v="17716"/>
        <s v="17758"/>
        <s v="17960"/>
        <s v="18130"/>
        <s v="18269"/>
        <s v="18278"/>
        <s v="18415"/>
        <s v="18669"/>
        <s v="18688"/>
        <s v="19021"/>
        <s v="1906"/>
        <s v="19102"/>
        <s v="19123"/>
        <s v="19326"/>
        <s v="19376"/>
        <s v="19412"/>
        <s v="19730"/>
        <s v="19863"/>
        <s v="19979"/>
        <s v="20024"/>
        <s v="20191"/>
        <s v="203"/>
        <s v="20352"/>
        <s v="20410"/>
        <s v="20513"/>
        <s v="20635"/>
        <s v="20944"/>
        <s v="21041"/>
        <s v="21088"/>
        <s v="21442"/>
        <s v="21448"/>
        <s v="21456"/>
        <s v="21732"/>
        <s v="21813"/>
        <s v="21961"/>
        <s v="22022"/>
        <s v="22034"/>
        <s v="22120"/>
        <s v="22183"/>
        <s v="2225"/>
        <s v="22252"/>
        <s v="22279"/>
        <s v="22324"/>
        <s v="2239"/>
        <s v="2248"/>
        <s v="22721"/>
        <s v="22833"/>
        <s v="23034"/>
        <s v="23163"/>
        <s v="23253"/>
        <s v="23339"/>
        <s v="23392"/>
        <s v="23411"/>
        <s v="23417"/>
        <s v="23946"/>
        <s v="23996"/>
        <s v="24021"/>
        <s v="24135"/>
        <s v="24184"/>
        <s v="24298"/>
        <s v="24576"/>
        <s v="24787"/>
        <s v="24926"/>
        <s v="25108"/>
        <s v="2530"/>
        <s v="254"/>
        <s v="25679"/>
        <s v="25689"/>
        <s v="25774"/>
        <s v="25982"/>
        <s v="26014"/>
        <s v="26519"/>
        <s v="26551"/>
        <s v="26579"/>
        <s v="26615"/>
        <s v="2662"/>
        <s v="26646"/>
        <s v="26719"/>
        <s v="27089"/>
        <s v="2715"/>
        <s v="27368"/>
        <s v="27382"/>
        <s v="27505"/>
        <s v="27555"/>
        <s v="27988"/>
        <s v="28112"/>
        <s v="28362"/>
        <s v="28409"/>
        <s v="28441"/>
        <s v="28485"/>
        <s v="28575"/>
        <s v="28654"/>
        <s v="29022"/>
        <s v="29048"/>
        <s v="29068"/>
        <s v="29155"/>
        <s v="29203"/>
        <s v="29568"/>
        <s v="29866"/>
        <s v="29890"/>
        <s v="30078"/>
        <s v="30180"/>
        <s v="30194"/>
        <s v="30240"/>
        <s v="30246"/>
        <s v="30368"/>
        <s v="30429"/>
        <s v="30682"/>
        <s v="3074"/>
        <s v="3118"/>
        <s v="31346"/>
        <s v="31383"/>
        <s v="31588"/>
        <s v="32108"/>
        <s v="32351"/>
        <s v="32379"/>
        <s v="32413"/>
        <s v="32418"/>
        <s v="32437"/>
        <s v="32451"/>
        <s v="3248"/>
        <s v="32733"/>
        <s v="32819"/>
        <s v="33033"/>
        <s v="33407"/>
        <s v="33440"/>
        <s v="33546"/>
        <s v="336"/>
        <s v="33876"/>
        <s v="34041"/>
        <s v="34086"/>
        <s v="34178"/>
        <s v="34248"/>
        <s v="3430"/>
        <s v="34304"/>
        <s v="34368"/>
        <s v="34596"/>
        <s v="34666"/>
        <s v="34870"/>
        <s v="3497"/>
        <s v="35088"/>
        <s v="35378"/>
        <s v="35573"/>
        <s v="35584"/>
        <s v="35893"/>
        <s v="35921"/>
        <s v="35964"/>
        <s v="35979"/>
        <s v="36108"/>
        <s v="36340"/>
        <s v="36836"/>
        <s v="37152"/>
        <s v="37168"/>
        <s v="37186"/>
        <s v="37264"/>
        <s v="37288"/>
        <s v="37337"/>
        <s v="37358"/>
        <s v="37387"/>
        <s v="37439"/>
        <s v="3760"/>
        <s v="37722"/>
        <s v="37746"/>
        <s v="37853"/>
        <s v="37860"/>
        <s v="37926"/>
        <s v="37928"/>
        <s v="37951"/>
        <s v="37962"/>
        <s v="38005"/>
        <s v="38019"/>
        <s v="3840"/>
        <s v="38403"/>
        <s v="38530"/>
        <s v="38594"/>
        <s v="38697"/>
        <s v="38896"/>
        <s v="38904"/>
        <s v="38966"/>
        <s v="39006"/>
        <s v="39038"/>
        <s v="3915"/>
        <s v="39310"/>
        <s v="39420"/>
        <s v="39671"/>
        <s v="3970"/>
        <s v="39736"/>
        <s v="39824"/>
        <s v="39862"/>
        <s v="39925"/>
        <s v="39927"/>
        <s v="40040"/>
        <s v="40132"/>
        <s v="40165"/>
        <s v="40253"/>
        <s v="40448"/>
        <s v="40476"/>
        <s v="407"/>
        <s v="40762"/>
        <s v="4077"/>
        <s v="40845"/>
        <s v="40929"/>
        <s v="41015"/>
        <s v="41053"/>
        <s v="41142"/>
        <s v="41150"/>
        <s v="41199"/>
        <s v="41502"/>
        <s v="42046"/>
        <s v="42247"/>
        <s v="42322"/>
        <s v="42721"/>
        <s v="42847"/>
        <s v="42935"/>
        <s v="43033"/>
        <s v="43339"/>
        <s v="43419"/>
        <s v="43449"/>
        <s v="43489"/>
        <s v="43605"/>
        <s v="43642"/>
        <s v="43723"/>
        <s v="43763"/>
        <s v="43961"/>
        <s v="43976"/>
        <s v="44056"/>
        <s v="4427"/>
        <s v="44412"/>
        <s v="44586"/>
        <s v="44783"/>
        <s v="44867"/>
        <s v="44902"/>
        <s v="45198"/>
        <s v="45302"/>
        <s v="45505"/>
        <s v="45797"/>
        <s v="45872"/>
        <s v="45923"/>
        <s v="45974"/>
        <s v="46545"/>
        <s v="46665"/>
        <s v="46721"/>
        <s v="46782"/>
        <s v="46801"/>
        <s v="46824"/>
        <s v="46854"/>
        <s v="47062"/>
        <s v="47231"/>
        <s v="47269"/>
        <s v="47371"/>
        <s v="47416"/>
        <s v="47508"/>
        <s v="47521"/>
        <s v="47527"/>
        <s v="47652"/>
        <s v="47696"/>
        <s v="47934"/>
        <s v="48001"/>
        <s v="48141"/>
        <s v="48298"/>
        <s v="48361"/>
        <s v="48404"/>
        <s v="48644"/>
        <s v="48679"/>
        <s v="48693"/>
        <s v="48741"/>
        <s v="48833"/>
        <s v="48915"/>
        <s v="49123"/>
        <s v="49287"/>
        <s v="4934"/>
        <s v="49582"/>
        <s v="49619"/>
        <s v="49684"/>
        <s v="49718"/>
        <s v="49774"/>
        <s v="49923"/>
        <s v="49933"/>
        <s v="49999"/>
        <s v="50458"/>
        <s v="50514"/>
        <s v="50692"/>
        <s v="50782"/>
        <s v="50899"/>
        <s v="51005"/>
        <s v="51103"/>
        <s v="51120"/>
        <s v="5130"/>
        <s v="51506"/>
        <s v="51539"/>
        <s v="5155"/>
        <s v="51710"/>
        <s v="5175"/>
        <s v="5181"/>
        <s v="51910"/>
        <s v="52116"/>
        <s v="52415"/>
        <s v="52544"/>
        <s v="52622"/>
        <s v="52712"/>
        <s v="52725"/>
        <s v="52827"/>
        <s v="53060"/>
        <s v="53262"/>
        <s v="53267"/>
        <s v="53284"/>
        <s v="53570"/>
        <s v="53587"/>
        <s v="53882"/>
        <s v="53967"/>
        <s v="54165"/>
        <s v="54287"/>
        <s v="54307"/>
        <s v="54556"/>
        <s v="5458"/>
        <s v="54724"/>
        <s v="54747"/>
        <s v="54869"/>
        <s v="54976"/>
        <s v="55111"/>
        <s v="55150"/>
        <s v="55409"/>
        <s v="55451"/>
        <s v="55479"/>
        <s v="55488"/>
        <s v="5559"/>
        <s v="55705"/>
        <s v="55802"/>
        <s v="55881"/>
        <s v="56010"/>
        <s v="56023"/>
        <s v="56233"/>
        <s v="56254"/>
        <s v="56258"/>
        <s v="56295"/>
        <s v="5633"/>
        <s v="56366"/>
        <s v="56373"/>
        <s v="5641"/>
        <s v="56634"/>
        <s v="56785"/>
        <s v="56835"/>
        <s v="56870"/>
        <s v="56921"/>
        <s v="57123"/>
        <s v="57308"/>
        <s v="57522"/>
        <s v="57676"/>
        <s v="57693"/>
        <s v="57899"/>
        <s v="58226"/>
        <s v="58262"/>
        <s v="58265"/>
        <s v="58382"/>
        <s v="58409"/>
        <s v="58416"/>
        <s v="58583"/>
        <s v="5871"/>
        <s v="58739"/>
        <s v="58841"/>
        <s v="59119"/>
        <s v="59166"/>
        <s v="59181"/>
        <s v="59820"/>
        <s v="59849"/>
        <s v="59869"/>
        <s v="5994"/>
        <s v="60043"/>
        <s v="60069"/>
        <s v="60115"/>
        <s v="60125"/>
        <s v="60442"/>
        <s v="6049"/>
        <s v="60511"/>
        <s v="60519"/>
        <s v="60574"/>
        <s v="60589"/>
        <s v="60969"/>
        <s v="60973"/>
        <s v="60994"/>
        <s v="61534"/>
        <s v="61723"/>
        <s v="61748"/>
        <s v="61960"/>
        <s v="62038"/>
        <s v="6206"/>
        <s v="6271"/>
        <s v="62730"/>
        <s v="62770"/>
        <s v="62861"/>
        <s v="62929"/>
        <s v="63008"/>
        <s v="63139"/>
        <s v="63168"/>
        <s v="63243"/>
        <s v="63446"/>
        <s v="63485"/>
        <s v="63612"/>
        <s v="64045"/>
        <s v="64179"/>
        <s v="64185"/>
        <s v="64437"/>
        <s v="64573"/>
        <s v="64654"/>
        <s v="64675"/>
        <s v="64813"/>
        <s v="64826"/>
        <s v="65183"/>
        <s v="65367"/>
        <s v="65377"/>
        <s v="6546"/>
        <s v="6557"/>
        <s v="6666"/>
        <s v="6899"/>
        <s v="6915"/>
        <s v="698"/>
        <s v="7040"/>
        <s v="7095"/>
        <s v="7163"/>
        <s v="7164"/>
        <s v="718"/>
        <s v="7228"/>
        <s v="727"/>
        <s v="7451"/>
        <s v="7859"/>
        <s v="8040"/>
        <s v="8166"/>
        <s v="8238"/>
        <s v="8405"/>
        <s v="8445"/>
        <s v="8945"/>
        <s v="9018"/>
        <s v="904"/>
        <s v="9189"/>
        <s v="9225"/>
        <s v="9304"/>
        <s v="9670"/>
        <s v="9679"/>
        <s v="9733"/>
        <s v="9742"/>
        <s v="9800"/>
      </sharedItems>
    </cacheField>
    <cacheField name="Protocol" numFmtId="0">
      <sharedItems count="3">
        <s v="ICMP"/>
        <s v="TCP"/>
        <s v="UDP"/>
      </sharedItems>
    </cacheField>
    <cacheField name="Action" numFmtId="0">
      <sharedItems count="2">
        <s v="Allowed"/>
        <s v="Blocked"/>
      </sharedItems>
    </cacheField>
    <cacheField name="Date" numFmtId="0">
      <sharedItems count="2">
        <s v="2024-07-26"/>
        <s v="2024-07-27"/>
      </sharedItems>
    </cacheField>
    <cacheField name="Time" numFmtId="0">
      <sharedItems count="427">
        <s v="00:06"/>
        <s v="00:10"/>
        <s v="00:15"/>
        <s v="00:16"/>
        <s v="00:19"/>
        <s v="00:20"/>
        <s v="00:26"/>
        <s v="00:30"/>
        <s v="00:31"/>
        <s v="00:33"/>
        <s v="00:35"/>
        <s v="00:36"/>
        <s v="00:37"/>
        <s v="00:39"/>
        <s v="00:40"/>
        <s v="00:47"/>
        <s v="01:02"/>
        <s v="01:05"/>
        <s v="01:07"/>
        <s v="01:08"/>
        <s v="01:13"/>
        <s v="01:15"/>
        <s v="01:16"/>
        <s v="01:18"/>
        <s v="01:21"/>
        <s v="01:23"/>
        <s v="01:26"/>
        <s v="01:32"/>
        <s v="01:33"/>
        <s v="01:36"/>
        <s v="01:42"/>
        <s v="01:48"/>
        <s v="01:49"/>
        <s v="01:56"/>
        <s v="02:00"/>
        <s v="02:02"/>
        <s v="02:04"/>
        <s v="02:05"/>
        <s v="02:06"/>
        <s v="02:08"/>
        <s v="02:09"/>
        <s v="02:15"/>
        <s v="02:17"/>
        <s v="02:20"/>
        <s v="02:27"/>
        <s v="02:28"/>
        <s v="02:30"/>
        <s v="02:33"/>
        <s v="02:34"/>
        <s v="02:37"/>
        <s v="02:43"/>
        <s v="02:52"/>
        <s v="02:54"/>
        <s v="02:55"/>
        <s v="03:03"/>
        <s v="03:05"/>
        <s v="03:08"/>
        <s v="03:16"/>
        <s v="03:17"/>
        <s v="03:18"/>
        <s v="03:22"/>
        <s v="03:27"/>
        <s v="03:32"/>
        <s v="03:33"/>
        <s v="03:35"/>
        <s v="03:44"/>
        <s v="03:51"/>
        <s v="03:53"/>
        <s v="03:56"/>
        <s v="03:57"/>
        <s v="03:58"/>
        <s v="04:02"/>
        <s v="04:05"/>
        <s v="04:11"/>
        <s v="04:20"/>
        <s v="04:22"/>
        <s v="04:26"/>
        <s v="04:27"/>
        <s v="04:30"/>
        <s v="04:37"/>
        <s v="04:47"/>
        <s v="04:52"/>
        <s v="05:00"/>
        <s v="05:01"/>
        <s v="05:02"/>
        <s v="05:03"/>
        <s v="05:08"/>
        <s v="05:14"/>
        <s v="05:18"/>
        <s v="05:19"/>
        <s v="05:21"/>
        <s v="05:22"/>
        <s v="05:24"/>
        <s v="05:31"/>
        <s v="05:34"/>
        <s v="05:38"/>
        <s v="05:39"/>
        <s v="05:45"/>
        <s v="05:47"/>
        <s v="05:51"/>
        <s v="05:55"/>
        <s v="06:09"/>
        <s v="06:15"/>
        <s v="06:16"/>
        <s v="06:21"/>
        <s v="06:23"/>
        <s v="06:24"/>
        <s v="06:26"/>
        <s v="06:27"/>
        <s v="06:34"/>
        <s v="06:36"/>
        <s v="06:37"/>
        <s v="06:43"/>
        <s v="06:50"/>
        <s v="06:53"/>
        <s v="06:57"/>
        <s v="07:00"/>
        <s v="07:06"/>
        <s v="07:08"/>
        <s v="07:12"/>
        <s v="07:16"/>
        <s v="07:17"/>
        <s v="07:20"/>
        <s v="07:21"/>
        <s v="07:29"/>
        <s v="07:42"/>
        <s v="07:44"/>
        <s v="07:48"/>
        <s v="07:49"/>
        <s v="07:52"/>
        <s v="07:55"/>
        <s v="07:57"/>
        <s v="07:59"/>
        <s v="08:00"/>
        <s v="08:03"/>
        <s v="08:07"/>
        <s v="08:10"/>
        <s v="08:16"/>
        <s v="08:22"/>
        <s v="08:23"/>
        <s v="08:29"/>
        <s v="08:35"/>
        <s v="08:36"/>
        <s v="08:43"/>
        <s v="08:51"/>
        <s v="08:54"/>
        <s v="08:55"/>
        <s v="08:57"/>
        <s v="08:58"/>
        <s v="09:04"/>
        <s v="09:06"/>
        <s v="09:16"/>
        <s v="09:22"/>
        <s v="09:24"/>
        <s v="09:25"/>
        <s v="09:28"/>
        <s v="09:31"/>
        <s v="09:33"/>
        <s v="09:35"/>
        <s v="09:41"/>
        <s v="09:56"/>
        <s v="09:57"/>
        <s v="10:01"/>
        <s v="10:02"/>
        <s v="10:06"/>
        <s v="10:09"/>
        <s v="10:13"/>
        <s v="10:16"/>
        <s v="10:19"/>
        <s v="10:21"/>
        <s v="10:22"/>
        <s v="10:24"/>
        <s v="10:25"/>
        <s v="10:26"/>
        <s v="10:30"/>
        <s v="10:38"/>
        <s v="10:39"/>
        <s v="10:40"/>
        <s v="10:41"/>
        <s v="10:43"/>
        <s v="10:45"/>
        <s v="10:47"/>
        <s v="10:53"/>
        <s v="10:54"/>
        <s v="10:57"/>
        <s v="11:00"/>
        <s v="11:05"/>
        <s v="11:15"/>
        <s v="11:16"/>
        <s v="11:20"/>
        <s v="11:23"/>
        <s v="11:25"/>
        <s v="11:26"/>
        <s v="11:30"/>
        <s v="11:31"/>
        <s v="11:33"/>
        <s v="11:34"/>
        <s v="11:37"/>
        <s v="11:46"/>
        <s v="11:53"/>
        <s v="11:54"/>
        <s v="11:55"/>
        <s v="11:57"/>
        <s v="11:58"/>
        <s v="12:00"/>
        <s v="12:03"/>
        <s v="12:05"/>
        <s v="12:07"/>
        <s v="12:08"/>
        <s v="12:10"/>
        <s v="12:12"/>
        <s v="12:14"/>
        <s v="12:22"/>
        <s v="12:25"/>
        <s v="12:26"/>
        <s v="12:27"/>
        <s v="12:28"/>
        <s v="12:32"/>
        <s v="12:33"/>
        <s v="12:42"/>
        <s v="12:48"/>
        <s v="12:54"/>
        <s v="13:04"/>
        <s v="13:05"/>
        <s v="13:12"/>
        <s v="13:17"/>
        <s v="13:18"/>
        <s v="13:21"/>
        <s v="13:22"/>
        <s v="13:25"/>
        <s v="13:26"/>
        <s v="13:28"/>
        <s v="13:29"/>
        <s v="13:33"/>
        <s v="13:37"/>
        <s v="13:38"/>
        <s v="13:41"/>
        <s v="13:43"/>
        <s v="13:51"/>
        <s v="13:55"/>
        <s v="13:57"/>
        <s v="14:00"/>
        <s v="14:04"/>
        <s v="14:08"/>
        <s v="14:09"/>
        <s v="14:11"/>
        <s v="14:15"/>
        <s v="14:20"/>
        <s v="14:23"/>
        <s v="14:30"/>
        <s v="14:33"/>
        <s v="14:34"/>
        <s v="14:36"/>
        <s v="14:39"/>
        <s v="14:47"/>
        <s v="14:49"/>
        <s v="14:50"/>
        <s v="14:54"/>
        <s v="14:55"/>
        <s v="14:57"/>
        <s v="14:58"/>
        <s v="14:59"/>
        <s v="15:00"/>
        <s v="15:01"/>
        <s v="15:03"/>
        <s v="15:04"/>
        <s v="15:08"/>
        <s v="15:10"/>
        <s v="15:12"/>
        <s v="15:15"/>
        <s v="15:17"/>
        <s v="15:20"/>
        <s v="15:21"/>
        <s v="15:23"/>
        <s v="15:26"/>
        <s v="15:29"/>
        <s v="15:33"/>
        <s v="15:38"/>
        <s v="15:41"/>
        <s v="15:43"/>
        <s v="15:46"/>
        <s v="15:47"/>
        <s v="15:55"/>
        <s v="15:57"/>
        <s v="16:02"/>
        <s v="16:03"/>
        <s v="16:04"/>
        <s v="16:07"/>
        <s v="16:10"/>
        <s v="16:12"/>
        <s v="16:13"/>
        <s v="16:14"/>
        <s v="16:20"/>
        <s v="16:24"/>
        <s v="16:28"/>
        <s v="16:30"/>
        <s v="16:31"/>
        <s v="16:36"/>
        <s v="16:40"/>
        <s v="16:42"/>
        <s v="16:43"/>
        <s v="16:46"/>
        <s v="16:52"/>
        <s v="16:54"/>
        <s v="16:59"/>
        <s v="17:01"/>
        <s v="17:02"/>
        <s v="17:03"/>
        <s v="17:07"/>
        <s v="17:12"/>
        <s v="17:13"/>
        <s v="17:17"/>
        <s v="17:21"/>
        <s v="17:22"/>
        <s v="17:47"/>
        <s v="17:48"/>
        <s v="17:49"/>
        <s v="17:50"/>
        <s v="17:55"/>
        <s v="18:04"/>
        <s v="18:12"/>
        <s v="18:14"/>
        <s v="18:16"/>
        <s v="18:17"/>
        <s v="18:25"/>
        <s v="18:27"/>
        <s v="18:33"/>
        <s v="18:41"/>
        <s v="18:45"/>
        <s v="18:49"/>
        <s v="18:50"/>
        <s v="18:51"/>
        <s v="18:52"/>
        <s v="18:53"/>
        <s v="18:54"/>
        <s v="18:56"/>
        <s v="18:58"/>
        <s v="19:03"/>
        <s v="19:04"/>
        <s v="19:06"/>
        <s v="19:07"/>
        <s v="19:13"/>
        <s v="19:14"/>
        <s v="19:15"/>
        <s v="19:22"/>
        <s v="19:23"/>
        <s v="19:24"/>
        <s v="19:26"/>
        <s v="19:29"/>
        <s v="19:31"/>
        <s v="19:33"/>
        <s v="19:36"/>
        <s v="19:38"/>
        <s v="19:40"/>
        <s v="19:42"/>
        <s v="19:45"/>
        <s v="19:55"/>
        <s v="19:57"/>
        <s v="19:59"/>
        <s v="20:00"/>
        <s v="20:05"/>
        <s v="20:08"/>
        <s v="20:09"/>
        <s v="20:11"/>
        <s v="20:12"/>
        <s v="20:20"/>
        <s v="20:22"/>
        <s v="20:25"/>
        <s v="20:26"/>
        <s v="20:27"/>
        <s v="20:28"/>
        <s v="20:30"/>
        <s v="20:36"/>
        <s v="20:40"/>
        <s v="20:41"/>
        <s v="20:42"/>
        <s v="20:44"/>
        <s v="20:50"/>
        <s v="20:51"/>
        <s v="20:53"/>
        <s v="20:54"/>
        <s v="21:00"/>
        <s v="21:02"/>
        <s v="21:06"/>
        <s v="21:14"/>
        <s v="21:17"/>
        <s v="21:20"/>
        <s v="21:23"/>
        <s v="21:26"/>
        <s v="21:38"/>
        <s v="21:40"/>
        <s v="21:49"/>
        <s v="21:53"/>
        <s v="21:56"/>
        <s v="21:58"/>
        <s v="22:04"/>
        <s v="22:06"/>
        <s v="22:08"/>
        <s v="22:09"/>
        <s v="22:24"/>
        <s v="22:26"/>
        <s v="22:28"/>
        <s v="22:29"/>
        <s v="22:30"/>
        <s v="22:32"/>
        <s v="22:39"/>
        <s v="22:50"/>
        <s v="22:53"/>
        <s v="22:55"/>
        <s v="22:56"/>
        <s v="22:59"/>
        <s v="23:19"/>
        <s v="23:20"/>
        <s v="23:21"/>
        <s v="23:22"/>
        <s v="23:33"/>
        <s v="23:34"/>
        <s v="23:38"/>
        <s v="23:40"/>
        <s v="23:41"/>
        <s v="23:43"/>
        <s v="23:45"/>
        <s v="23:47"/>
        <s v="23:49"/>
        <s v="23:51"/>
        <s v="23:52"/>
        <s v="23:55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0">
  <r>
    <x v="133"/>
    <x v="429"/>
    <x v="52"/>
    <x v="212"/>
    <x v="1"/>
    <x v="1"/>
    <x v="0"/>
    <x v="266"/>
  </r>
  <r>
    <x v="405"/>
    <x v="483"/>
    <x v="34"/>
    <x v="99"/>
    <x v="2"/>
    <x v="1"/>
    <x v="1"/>
    <x v="111"/>
  </r>
  <r>
    <x v="192"/>
    <x v="0"/>
    <x v="385"/>
    <x v="201"/>
    <x v="0"/>
    <x v="1"/>
    <x v="0"/>
    <x v="325"/>
  </r>
  <r>
    <x v="359"/>
    <x v="196"/>
    <x v="7"/>
    <x v="12"/>
    <x v="2"/>
    <x v="0"/>
    <x v="1"/>
    <x v="65"/>
  </r>
  <r>
    <x v="311"/>
    <x v="410"/>
    <x v="303"/>
    <x v="394"/>
    <x v="2"/>
    <x v="1"/>
    <x v="1"/>
    <x v="17"/>
  </r>
  <r>
    <x v="367"/>
    <x v="198"/>
    <x v="198"/>
    <x v="465"/>
    <x v="1"/>
    <x v="1"/>
    <x v="1"/>
    <x v="73"/>
  </r>
  <r>
    <x v="160"/>
    <x v="188"/>
    <x v="80"/>
    <x v="116"/>
    <x v="1"/>
    <x v="0"/>
    <x v="0"/>
    <x v="293"/>
  </r>
  <r>
    <x v="107"/>
    <x v="72"/>
    <x v="498"/>
    <x v="181"/>
    <x v="2"/>
    <x v="0"/>
    <x v="0"/>
    <x v="240"/>
  </r>
  <r>
    <x v="318"/>
    <x v="255"/>
    <x v="197"/>
    <x v="84"/>
    <x v="0"/>
    <x v="0"/>
    <x v="1"/>
    <x v="24"/>
  </r>
  <r>
    <x v="400"/>
    <x v="16"/>
    <x v="249"/>
    <x v="372"/>
    <x v="0"/>
    <x v="1"/>
    <x v="1"/>
    <x v="106"/>
  </r>
  <r>
    <x v="307"/>
    <x v="311"/>
    <x v="190"/>
    <x v="129"/>
    <x v="0"/>
    <x v="1"/>
    <x v="1"/>
    <x v="13"/>
  </r>
  <r>
    <x v="182"/>
    <x v="463"/>
    <x v="168"/>
    <x v="249"/>
    <x v="2"/>
    <x v="0"/>
    <x v="0"/>
    <x v="315"/>
  </r>
  <r>
    <x v="59"/>
    <x v="163"/>
    <x v="134"/>
    <x v="100"/>
    <x v="2"/>
    <x v="1"/>
    <x v="0"/>
    <x v="192"/>
  </r>
  <r>
    <x v="365"/>
    <x v="2"/>
    <x v="282"/>
    <x v="2"/>
    <x v="2"/>
    <x v="1"/>
    <x v="1"/>
    <x v="71"/>
  </r>
  <r>
    <x v="44"/>
    <x v="261"/>
    <x v="96"/>
    <x v="387"/>
    <x v="2"/>
    <x v="0"/>
    <x v="0"/>
    <x v="177"/>
  </r>
  <r>
    <x v="405"/>
    <x v="248"/>
    <x v="62"/>
    <x v="123"/>
    <x v="1"/>
    <x v="1"/>
    <x v="1"/>
    <x v="111"/>
  </r>
  <r>
    <x v="111"/>
    <x v="64"/>
    <x v="13"/>
    <x v="277"/>
    <x v="0"/>
    <x v="1"/>
    <x v="0"/>
    <x v="244"/>
  </r>
  <r>
    <x v="333"/>
    <x v="209"/>
    <x v="440"/>
    <x v="416"/>
    <x v="2"/>
    <x v="1"/>
    <x v="1"/>
    <x v="39"/>
  </r>
  <r>
    <x v="310"/>
    <x v="78"/>
    <x v="473"/>
    <x v="191"/>
    <x v="2"/>
    <x v="1"/>
    <x v="1"/>
    <x v="16"/>
  </r>
  <r>
    <x v="289"/>
    <x v="208"/>
    <x v="258"/>
    <x v="276"/>
    <x v="0"/>
    <x v="1"/>
    <x v="0"/>
    <x v="422"/>
  </r>
  <r>
    <x v="80"/>
    <x v="266"/>
    <x v="293"/>
    <x v="187"/>
    <x v="1"/>
    <x v="1"/>
    <x v="0"/>
    <x v="213"/>
  </r>
  <r>
    <x v="251"/>
    <x v="23"/>
    <x v="253"/>
    <x v="108"/>
    <x v="0"/>
    <x v="1"/>
    <x v="0"/>
    <x v="384"/>
  </r>
  <r>
    <x v="313"/>
    <x v="150"/>
    <x v="195"/>
    <x v="168"/>
    <x v="0"/>
    <x v="0"/>
    <x v="1"/>
    <x v="19"/>
  </r>
  <r>
    <x v="45"/>
    <x v="300"/>
    <x v="215"/>
    <x v="35"/>
    <x v="0"/>
    <x v="1"/>
    <x v="0"/>
    <x v="178"/>
  </r>
  <r>
    <x v="122"/>
    <x v="91"/>
    <x v="93"/>
    <x v="125"/>
    <x v="1"/>
    <x v="1"/>
    <x v="0"/>
    <x v="255"/>
  </r>
  <r>
    <x v="141"/>
    <x v="69"/>
    <x v="56"/>
    <x v="305"/>
    <x v="1"/>
    <x v="0"/>
    <x v="0"/>
    <x v="274"/>
  </r>
  <r>
    <x v="152"/>
    <x v="144"/>
    <x v="433"/>
    <x v="118"/>
    <x v="2"/>
    <x v="1"/>
    <x v="0"/>
    <x v="285"/>
  </r>
  <r>
    <x v="346"/>
    <x v="406"/>
    <x v="218"/>
    <x v="414"/>
    <x v="0"/>
    <x v="0"/>
    <x v="1"/>
    <x v="52"/>
  </r>
  <r>
    <x v="104"/>
    <x v="197"/>
    <x v="445"/>
    <x v="292"/>
    <x v="1"/>
    <x v="1"/>
    <x v="0"/>
    <x v="237"/>
  </r>
  <r>
    <x v="144"/>
    <x v="218"/>
    <x v="438"/>
    <x v="226"/>
    <x v="1"/>
    <x v="1"/>
    <x v="0"/>
    <x v="277"/>
  </r>
  <r>
    <x v="136"/>
    <x v="154"/>
    <x v="358"/>
    <x v="87"/>
    <x v="0"/>
    <x v="0"/>
    <x v="0"/>
    <x v="269"/>
  </r>
  <r>
    <x v="233"/>
    <x v="175"/>
    <x v="373"/>
    <x v="119"/>
    <x v="1"/>
    <x v="0"/>
    <x v="0"/>
    <x v="366"/>
  </r>
  <r>
    <x v="267"/>
    <x v="345"/>
    <x v="311"/>
    <x v="363"/>
    <x v="0"/>
    <x v="0"/>
    <x v="0"/>
    <x v="400"/>
  </r>
  <r>
    <x v="200"/>
    <x v="312"/>
    <x v="337"/>
    <x v="97"/>
    <x v="0"/>
    <x v="1"/>
    <x v="0"/>
    <x v="333"/>
  </r>
  <r>
    <x v="145"/>
    <x v="462"/>
    <x v="322"/>
    <x v="131"/>
    <x v="0"/>
    <x v="0"/>
    <x v="0"/>
    <x v="278"/>
  </r>
  <r>
    <x v="68"/>
    <x v="349"/>
    <x v="207"/>
    <x v="152"/>
    <x v="2"/>
    <x v="1"/>
    <x v="0"/>
    <x v="201"/>
  </r>
  <r>
    <x v="73"/>
    <x v="273"/>
    <x v="152"/>
    <x v="341"/>
    <x v="2"/>
    <x v="1"/>
    <x v="0"/>
    <x v="206"/>
  </r>
  <r>
    <x v="118"/>
    <x v="412"/>
    <x v="165"/>
    <x v="330"/>
    <x v="1"/>
    <x v="1"/>
    <x v="0"/>
    <x v="251"/>
  </r>
  <r>
    <x v="424"/>
    <x v="33"/>
    <x v="481"/>
    <x v="282"/>
    <x v="2"/>
    <x v="1"/>
    <x v="1"/>
    <x v="130"/>
  </r>
  <r>
    <x v="376"/>
    <x v="354"/>
    <x v="343"/>
    <x v="163"/>
    <x v="1"/>
    <x v="1"/>
    <x v="1"/>
    <x v="82"/>
  </r>
  <r>
    <x v="161"/>
    <x v="364"/>
    <x v="371"/>
    <x v="443"/>
    <x v="1"/>
    <x v="0"/>
    <x v="0"/>
    <x v="294"/>
  </r>
  <r>
    <x v="282"/>
    <x v="407"/>
    <x v="135"/>
    <x v="321"/>
    <x v="1"/>
    <x v="0"/>
    <x v="0"/>
    <x v="415"/>
  </r>
  <r>
    <x v="194"/>
    <x v="102"/>
    <x v="348"/>
    <x v="410"/>
    <x v="1"/>
    <x v="1"/>
    <x v="0"/>
    <x v="327"/>
  </r>
  <r>
    <x v="248"/>
    <x v="66"/>
    <x v="254"/>
    <x v="350"/>
    <x v="0"/>
    <x v="0"/>
    <x v="0"/>
    <x v="381"/>
  </r>
  <r>
    <x v="153"/>
    <x v="53"/>
    <x v="205"/>
    <x v="346"/>
    <x v="2"/>
    <x v="0"/>
    <x v="0"/>
    <x v="286"/>
  </r>
  <r>
    <x v="66"/>
    <x v="306"/>
    <x v="243"/>
    <x v="319"/>
    <x v="2"/>
    <x v="0"/>
    <x v="0"/>
    <x v="199"/>
  </r>
  <r>
    <x v="81"/>
    <x v="245"/>
    <x v="223"/>
    <x v="391"/>
    <x v="0"/>
    <x v="0"/>
    <x v="0"/>
    <x v="214"/>
  </r>
  <r>
    <x v="262"/>
    <x v="437"/>
    <x v="323"/>
    <x v="63"/>
    <x v="2"/>
    <x v="1"/>
    <x v="0"/>
    <x v="395"/>
  </r>
  <r>
    <x v="238"/>
    <x v="290"/>
    <x v="350"/>
    <x v="460"/>
    <x v="1"/>
    <x v="1"/>
    <x v="0"/>
    <x v="371"/>
  </r>
  <r>
    <x v="357"/>
    <x v="435"/>
    <x v="296"/>
    <x v="70"/>
    <x v="1"/>
    <x v="1"/>
    <x v="1"/>
    <x v="63"/>
  </r>
  <r>
    <x v="54"/>
    <x v="425"/>
    <x v="5"/>
    <x v="5"/>
    <x v="0"/>
    <x v="1"/>
    <x v="0"/>
    <x v="187"/>
  </r>
  <r>
    <x v="93"/>
    <x v="228"/>
    <x v="43"/>
    <x v="267"/>
    <x v="1"/>
    <x v="1"/>
    <x v="0"/>
    <x v="226"/>
  </r>
  <r>
    <x v="258"/>
    <x v="323"/>
    <x v="138"/>
    <x v="406"/>
    <x v="2"/>
    <x v="0"/>
    <x v="0"/>
    <x v="391"/>
  </r>
  <r>
    <x v="184"/>
    <x v="426"/>
    <x v="490"/>
    <x v="404"/>
    <x v="0"/>
    <x v="1"/>
    <x v="0"/>
    <x v="317"/>
  </r>
  <r>
    <x v="305"/>
    <x v="215"/>
    <x v="217"/>
    <x v="343"/>
    <x v="1"/>
    <x v="0"/>
    <x v="1"/>
    <x v="11"/>
  </r>
  <r>
    <x v="215"/>
    <x v="420"/>
    <x v="24"/>
    <x v="407"/>
    <x v="2"/>
    <x v="1"/>
    <x v="0"/>
    <x v="348"/>
  </r>
  <r>
    <x v="324"/>
    <x v="52"/>
    <x v="112"/>
    <x v="344"/>
    <x v="2"/>
    <x v="0"/>
    <x v="1"/>
    <x v="30"/>
  </r>
  <r>
    <x v="87"/>
    <x v="40"/>
    <x v="191"/>
    <x v="420"/>
    <x v="2"/>
    <x v="0"/>
    <x v="0"/>
    <x v="220"/>
  </r>
  <r>
    <x v="154"/>
    <x v="37"/>
    <x v="449"/>
    <x v="29"/>
    <x v="1"/>
    <x v="1"/>
    <x v="0"/>
    <x v="287"/>
  </r>
  <r>
    <x v="2"/>
    <x v="239"/>
    <x v="146"/>
    <x v="329"/>
    <x v="1"/>
    <x v="0"/>
    <x v="0"/>
    <x v="135"/>
  </r>
  <r>
    <x v="98"/>
    <x v="34"/>
    <x v="55"/>
    <x v="224"/>
    <x v="2"/>
    <x v="1"/>
    <x v="0"/>
    <x v="231"/>
  </r>
  <r>
    <x v="326"/>
    <x v="298"/>
    <x v="269"/>
    <x v="183"/>
    <x v="1"/>
    <x v="0"/>
    <x v="1"/>
    <x v="32"/>
  </r>
  <r>
    <x v="131"/>
    <x v="276"/>
    <x v="132"/>
    <x v="485"/>
    <x v="2"/>
    <x v="0"/>
    <x v="0"/>
    <x v="264"/>
  </r>
  <r>
    <x v="121"/>
    <x v="210"/>
    <x v="87"/>
    <x v="101"/>
    <x v="0"/>
    <x v="0"/>
    <x v="0"/>
    <x v="254"/>
  </r>
  <r>
    <x v="403"/>
    <x v="439"/>
    <x v="241"/>
    <x v="217"/>
    <x v="2"/>
    <x v="1"/>
    <x v="1"/>
    <x v="109"/>
  </r>
  <r>
    <x v="56"/>
    <x v="267"/>
    <x v="465"/>
    <x v="66"/>
    <x v="0"/>
    <x v="1"/>
    <x v="0"/>
    <x v="189"/>
  </r>
  <r>
    <x v="336"/>
    <x v="272"/>
    <x v="317"/>
    <x v="81"/>
    <x v="2"/>
    <x v="0"/>
    <x v="1"/>
    <x v="42"/>
  </r>
  <r>
    <x v="400"/>
    <x v="98"/>
    <x v="189"/>
    <x v="76"/>
    <x v="0"/>
    <x v="0"/>
    <x v="1"/>
    <x v="106"/>
  </r>
  <r>
    <x v="0"/>
    <x v="396"/>
    <x v="486"/>
    <x v="57"/>
    <x v="2"/>
    <x v="1"/>
    <x v="0"/>
    <x v="133"/>
  </r>
  <r>
    <x v="120"/>
    <x v="260"/>
    <x v="364"/>
    <x v="122"/>
    <x v="1"/>
    <x v="1"/>
    <x v="0"/>
    <x v="253"/>
  </r>
  <r>
    <x v="331"/>
    <x v="359"/>
    <x v="171"/>
    <x v="440"/>
    <x v="0"/>
    <x v="1"/>
    <x v="1"/>
    <x v="37"/>
  </r>
  <r>
    <x v="277"/>
    <x v="262"/>
    <x v="493"/>
    <x v="132"/>
    <x v="0"/>
    <x v="1"/>
    <x v="0"/>
    <x v="410"/>
  </r>
  <r>
    <x v="30"/>
    <x v="42"/>
    <x v="8"/>
    <x v="15"/>
    <x v="0"/>
    <x v="0"/>
    <x v="0"/>
    <x v="163"/>
  </r>
  <r>
    <x v="315"/>
    <x v="195"/>
    <x v="143"/>
    <x v="424"/>
    <x v="1"/>
    <x v="1"/>
    <x v="1"/>
    <x v="21"/>
  </r>
  <r>
    <x v="426"/>
    <x v="445"/>
    <x v="379"/>
    <x v="241"/>
    <x v="0"/>
    <x v="0"/>
    <x v="1"/>
    <x v="132"/>
  </r>
  <r>
    <x v="102"/>
    <x v="402"/>
    <x v="457"/>
    <x v="401"/>
    <x v="2"/>
    <x v="1"/>
    <x v="0"/>
    <x v="235"/>
  </r>
  <r>
    <x v="254"/>
    <x v="356"/>
    <x v="256"/>
    <x v="438"/>
    <x v="1"/>
    <x v="0"/>
    <x v="0"/>
    <x v="387"/>
  </r>
  <r>
    <x v="414"/>
    <x v="321"/>
    <x v="202"/>
    <x v="337"/>
    <x v="1"/>
    <x v="0"/>
    <x v="1"/>
    <x v="120"/>
  </r>
  <r>
    <x v="70"/>
    <x v="139"/>
    <x v="380"/>
    <x v="264"/>
    <x v="1"/>
    <x v="1"/>
    <x v="0"/>
    <x v="203"/>
  </r>
  <r>
    <x v="78"/>
    <x v="485"/>
    <x v="46"/>
    <x v="170"/>
    <x v="1"/>
    <x v="0"/>
    <x v="0"/>
    <x v="211"/>
  </r>
  <r>
    <x v="368"/>
    <x v="408"/>
    <x v="416"/>
    <x v="421"/>
    <x v="0"/>
    <x v="0"/>
    <x v="1"/>
    <x v="74"/>
  </r>
  <r>
    <x v="385"/>
    <x v="240"/>
    <x v="366"/>
    <x v="3"/>
    <x v="2"/>
    <x v="0"/>
    <x v="1"/>
    <x v="91"/>
  </r>
  <r>
    <x v="372"/>
    <x v="382"/>
    <x v="414"/>
    <x v="379"/>
    <x v="2"/>
    <x v="0"/>
    <x v="1"/>
    <x v="78"/>
  </r>
  <r>
    <x v="194"/>
    <x v="499"/>
    <x v="434"/>
    <x v="272"/>
    <x v="1"/>
    <x v="0"/>
    <x v="0"/>
    <x v="327"/>
  </r>
  <r>
    <x v="250"/>
    <x v="371"/>
    <x v="83"/>
    <x v="149"/>
    <x v="2"/>
    <x v="0"/>
    <x v="0"/>
    <x v="383"/>
  </r>
  <r>
    <x v="72"/>
    <x v="47"/>
    <x v="129"/>
    <x v="207"/>
    <x v="2"/>
    <x v="1"/>
    <x v="0"/>
    <x v="205"/>
  </r>
  <r>
    <x v="96"/>
    <x v="170"/>
    <x v="308"/>
    <x v="243"/>
    <x v="2"/>
    <x v="1"/>
    <x v="0"/>
    <x v="229"/>
  </r>
  <r>
    <x v="380"/>
    <x v="493"/>
    <x v="239"/>
    <x v="429"/>
    <x v="1"/>
    <x v="1"/>
    <x v="1"/>
    <x v="86"/>
  </r>
  <r>
    <x v="235"/>
    <x v="159"/>
    <x v="391"/>
    <x v="316"/>
    <x v="0"/>
    <x v="1"/>
    <x v="0"/>
    <x v="368"/>
  </r>
  <r>
    <x v="166"/>
    <x v="494"/>
    <x v="341"/>
    <x v="40"/>
    <x v="0"/>
    <x v="1"/>
    <x v="0"/>
    <x v="299"/>
  </r>
  <r>
    <x v="367"/>
    <x v="453"/>
    <x v="19"/>
    <x v="323"/>
    <x v="0"/>
    <x v="0"/>
    <x v="1"/>
    <x v="73"/>
  </r>
  <r>
    <x v="31"/>
    <x v="74"/>
    <x v="324"/>
    <x v="31"/>
    <x v="1"/>
    <x v="0"/>
    <x v="0"/>
    <x v="164"/>
  </r>
  <r>
    <x v="62"/>
    <x v="101"/>
    <x v="288"/>
    <x v="466"/>
    <x v="2"/>
    <x v="1"/>
    <x v="0"/>
    <x v="195"/>
  </r>
  <r>
    <x v="388"/>
    <x v="84"/>
    <x v="280"/>
    <x v="279"/>
    <x v="0"/>
    <x v="1"/>
    <x v="1"/>
    <x v="94"/>
  </r>
  <r>
    <x v="157"/>
    <x v="87"/>
    <x v="318"/>
    <x v="403"/>
    <x v="1"/>
    <x v="0"/>
    <x v="0"/>
    <x v="290"/>
  </r>
  <r>
    <x v="413"/>
    <x v="368"/>
    <x v="166"/>
    <x v="190"/>
    <x v="2"/>
    <x v="0"/>
    <x v="1"/>
    <x v="119"/>
  </r>
  <r>
    <x v="20"/>
    <x v="398"/>
    <x v="21"/>
    <x v="77"/>
    <x v="1"/>
    <x v="0"/>
    <x v="0"/>
    <x v="153"/>
  </r>
  <r>
    <x v="146"/>
    <x v="479"/>
    <x v="101"/>
    <x v="205"/>
    <x v="1"/>
    <x v="1"/>
    <x v="0"/>
    <x v="279"/>
  </r>
  <r>
    <x v="51"/>
    <x v="4"/>
    <x v="1"/>
    <x v="335"/>
    <x v="2"/>
    <x v="0"/>
    <x v="0"/>
    <x v="184"/>
  </r>
  <r>
    <x v="138"/>
    <x v="238"/>
    <x v="325"/>
    <x v="308"/>
    <x v="0"/>
    <x v="0"/>
    <x v="0"/>
    <x v="271"/>
  </r>
  <r>
    <x v="382"/>
    <x v="15"/>
    <x v="388"/>
    <x v="182"/>
    <x v="0"/>
    <x v="0"/>
    <x v="1"/>
    <x v="88"/>
  </r>
  <r>
    <x v="323"/>
    <x v="393"/>
    <x v="394"/>
    <x v="340"/>
    <x v="0"/>
    <x v="0"/>
    <x v="1"/>
    <x v="29"/>
  </r>
  <r>
    <x v="342"/>
    <x v="39"/>
    <x v="390"/>
    <x v="398"/>
    <x v="0"/>
    <x v="0"/>
    <x v="1"/>
    <x v="48"/>
  </r>
  <r>
    <x v="408"/>
    <x v="186"/>
    <x v="71"/>
    <x v="44"/>
    <x v="0"/>
    <x v="1"/>
    <x v="1"/>
    <x v="114"/>
  </r>
  <r>
    <x v="19"/>
    <x v="141"/>
    <x v="272"/>
    <x v="225"/>
    <x v="2"/>
    <x v="1"/>
    <x v="0"/>
    <x v="152"/>
  </r>
  <r>
    <x v="409"/>
    <x v="193"/>
    <x v="431"/>
    <x v="310"/>
    <x v="1"/>
    <x v="0"/>
    <x v="1"/>
    <x v="115"/>
  </r>
  <r>
    <x v="363"/>
    <x v="414"/>
    <x v="400"/>
    <x v="67"/>
    <x v="2"/>
    <x v="1"/>
    <x v="1"/>
    <x v="69"/>
  </r>
  <r>
    <x v="110"/>
    <x v="180"/>
    <x v="453"/>
    <x v="423"/>
    <x v="0"/>
    <x v="0"/>
    <x v="0"/>
    <x v="243"/>
  </r>
  <r>
    <x v="259"/>
    <x v="338"/>
    <x v="181"/>
    <x v="462"/>
    <x v="2"/>
    <x v="0"/>
    <x v="0"/>
    <x v="392"/>
  </r>
  <r>
    <x v="26"/>
    <x v="302"/>
    <x v="462"/>
    <x v="474"/>
    <x v="1"/>
    <x v="0"/>
    <x v="0"/>
    <x v="159"/>
  </r>
  <r>
    <x v="172"/>
    <x v="342"/>
    <x v="250"/>
    <x v="484"/>
    <x v="1"/>
    <x v="1"/>
    <x v="0"/>
    <x v="305"/>
  </r>
  <r>
    <x v="291"/>
    <x v="477"/>
    <x v="238"/>
    <x v="371"/>
    <x v="2"/>
    <x v="1"/>
    <x v="0"/>
    <x v="424"/>
  </r>
  <r>
    <x v="264"/>
    <x v="3"/>
    <x v="38"/>
    <x v="96"/>
    <x v="1"/>
    <x v="0"/>
    <x v="0"/>
    <x v="397"/>
  </r>
  <r>
    <x v="15"/>
    <x v="51"/>
    <x v="495"/>
    <x v="165"/>
    <x v="2"/>
    <x v="1"/>
    <x v="0"/>
    <x v="148"/>
  </r>
  <r>
    <x v="113"/>
    <x v="104"/>
    <x v="95"/>
    <x v="287"/>
    <x v="1"/>
    <x v="0"/>
    <x v="0"/>
    <x v="246"/>
  </r>
  <r>
    <x v="419"/>
    <x v="278"/>
    <x v="69"/>
    <x v="80"/>
    <x v="2"/>
    <x v="0"/>
    <x v="1"/>
    <x v="125"/>
  </r>
  <r>
    <x v="234"/>
    <x v="237"/>
    <x v="320"/>
    <x v="356"/>
    <x v="1"/>
    <x v="1"/>
    <x v="0"/>
    <x v="367"/>
  </r>
  <r>
    <x v="183"/>
    <x v="467"/>
    <x v="396"/>
    <x v="8"/>
    <x v="0"/>
    <x v="1"/>
    <x v="0"/>
    <x v="316"/>
  </r>
  <r>
    <x v="261"/>
    <x v="346"/>
    <x v="245"/>
    <x v="147"/>
    <x v="2"/>
    <x v="0"/>
    <x v="0"/>
    <x v="394"/>
  </r>
  <r>
    <x v="384"/>
    <x v="22"/>
    <x v="264"/>
    <x v="385"/>
    <x v="0"/>
    <x v="1"/>
    <x v="1"/>
    <x v="90"/>
  </r>
  <r>
    <x v="208"/>
    <x v="109"/>
    <x v="206"/>
    <x v="9"/>
    <x v="1"/>
    <x v="1"/>
    <x v="0"/>
    <x v="341"/>
  </r>
  <r>
    <x v="266"/>
    <x v="347"/>
    <x v="290"/>
    <x v="476"/>
    <x v="2"/>
    <x v="0"/>
    <x v="0"/>
    <x v="399"/>
  </r>
  <r>
    <x v="35"/>
    <x v="456"/>
    <x v="124"/>
    <x v="234"/>
    <x v="2"/>
    <x v="1"/>
    <x v="0"/>
    <x v="168"/>
  </r>
  <r>
    <x v="69"/>
    <x v="113"/>
    <x v="144"/>
    <x v="487"/>
    <x v="0"/>
    <x v="0"/>
    <x v="0"/>
    <x v="202"/>
  </r>
  <r>
    <x v="12"/>
    <x v="378"/>
    <x v="25"/>
    <x v="242"/>
    <x v="2"/>
    <x v="1"/>
    <x v="0"/>
    <x v="145"/>
  </r>
  <r>
    <x v="221"/>
    <x v="192"/>
    <x v="33"/>
    <x v="114"/>
    <x v="1"/>
    <x v="0"/>
    <x v="0"/>
    <x v="354"/>
  </r>
  <r>
    <x v="95"/>
    <x v="286"/>
    <x v="278"/>
    <x v="295"/>
    <x v="1"/>
    <x v="1"/>
    <x v="0"/>
    <x v="228"/>
  </r>
  <r>
    <x v="118"/>
    <x v="173"/>
    <x v="257"/>
    <x v="42"/>
    <x v="0"/>
    <x v="0"/>
    <x v="0"/>
    <x v="251"/>
  </r>
  <r>
    <x v="292"/>
    <x v="482"/>
    <x v="283"/>
    <x v="19"/>
    <x v="1"/>
    <x v="1"/>
    <x v="0"/>
    <x v="425"/>
  </r>
  <r>
    <x v="97"/>
    <x v="259"/>
    <x v="345"/>
    <x v="495"/>
    <x v="0"/>
    <x v="0"/>
    <x v="0"/>
    <x v="230"/>
  </r>
  <r>
    <x v="386"/>
    <x v="417"/>
    <x v="160"/>
    <x v="388"/>
    <x v="2"/>
    <x v="1"/>
    <x v="1"/>
    <x v="92"/>
  </r>
  <r>
    <x v="288"/>
    <x v="283"/>
    <x v="158"/>
    <x v="92"/>
    <x v="0"/>
    <x v="0"/>
    <x v="0"/>
    <x v="421"/>
  </r>
  <r>
    <x v="316"/>
    <x v="249"/>
    <x v="403"/>
    <x v="380"/>
    <x v="2"/>
    <x v="1"/>
    <x v="1"/>
    <x v="22"/>
  </r>
  <r>
    <x v="197"/>
    <x v="118"/>
    <x v="448"/>
    <x v="135"/>
    <x v="0"/>
    <x v="0"/>
    <x v="0"/>
    <x v="330"/>
  </r>
  <r>
    <x v="134"/>
    <x v="422"/>
    <x v="315"/>
    <x v="488"/>
    <x v="2"/>
    <x v="1"/>
    <x v="0"/>
    <x v="267"/>
  </r>
  <r>
    <x v="396"/>
    <x v="50"/>
    <x v="45"/>
    <x v="269"/>
    <x v="1"/>
    <x v="1"/>
    <x v="1"/>
    <x v="102"/>
  </r>
  <r>
    <x v="136"/>
    <x v="416"/>
    <x v="177"/>
    <x v="360"/>
    <x v="0"/>
    <x v="1"/>
    <x v="0"/>
    <x v="269"/>
  </r>
  <r>
    <x v="28"/>
    <x v="473"/>
    <x v="26"/>
    <x v="315"/>
    <x v="0"/>
    <x v="0"/>
    <x v="0"/>
    <x v="161"/>
  </r>
  <r>
    <x v="25"/>
    <x v="105"/>
    <x v="422"/>
    <x v="52"/>
    <x v="1"/>
    <x v="0"/>
    <x v="0"/>
    <x v="158"/>
  </r>
  <r>
    <x v="379"/>
    <x v="381"/>
    <x v="174"/>
    <x v="285"/>
    <x v="0"/>
    <x v="1"/>
    <x v="1"/>
    <x v="85"/>
  </r>
  <r>
    <x v="199"/>
    <x v="484"/>
    <x v="363"/>
    <x v="61"/>
    <x v="1"/>
    <x v="0"/>
    <x v="0"/>
    <x v="332"/>
  </r>
  <r>
    <x v="371"/>
    <x v="24"/>
    <x v="67"/>
    <x v="184"/>
    <x v="2"/>
    <x v="0"/>
    <x v="1"/>
    <x v="77"/>
  </r>
  <r>
    <x v="281"/>
    <x v="434"/>
    <x v="18"/>
    <x v="173"/>
    <x v="0"/>
    <x v="0"/>
    <x v="0"/>
    <x v="414"/>
  </r>
  <r>
    <x v="345"/>
    <x v="158"/>
    <x v="362"/>
    <x v="334"/>
    <x v="1"/>
    <x v="0"/>
    <x v="1"/>
    <x v="51"/>
  </r>
  <r>
    <x v="9"/>
    <x v="459"/>
    <x v="15"/>
    <x v="25"/>
    <x v="0"/>
    <x v="1"/>
    <x v="0"/>
    <x v="142"/>
  </r>
  <r>
    <x v="358"/>
    <x v="337"/>
    <x v="222"/>
    <x v="412"/>
    <x v="0"/>
    <x v="0"/>
    <x v="1"/>
    <x v="64"/>
  </r>
  <r>
    <x v="349"/>
    <x v="212"/>
    <x v="247"/>
    <x v="395"/>
    <x v="0"/>
    <x v="1"/>
    <x v="1"/>
    <x v="55"/>
  </r>
  <r>
    <x v="355"/>
    <x v="379"/>
    <x v="327"/>
    <x v="289"/>
    <x v="0"/>
    <x v="0"/>
    <x v="1"/>
    <x v="61"/>
  </r>
  <r>
    <x v="101"/>
    <x v="480"/>
    <x v="126"/>
    <x v="365"/>
    <x v="0"/>
    <x v="1"/>
    <x v="0"/>
    <x v="234"/>
  </r>
  <r>
    <x v="115"/>
    <x v="307"/>
    <x v="410"/>
    <x v="437"/>
    <x v="0"/>
    <x v="1"/>
    <x v="0"/>
    <x v="248"/>
  </r>
  <r>
    <x v="159"/>
    <x v="36"/>
    <x v="178"/>
    <x v="216"/>
    <x v="0"/>
    <x v="1"/>
    <x v="0"/>
    <x v="292"/>
  </r>
  <r>
    <x v="275"/>
    <x v="413"/>
    <x v="480"/>
    <x v="186"/>
    <x v="2"/>
    <x v="0"/>
    <x v="0"/>
    <x v="408"/>
  </r>
  <r>
    <x v="39"/>
    <x v="65"/>
    <x v="262"/>
    <x v="304"/>
    <x v="2"/>
    <x v="0"/>
    <x v="0"/>
    <x v="172"/>
  </r>
  <r>
    <x v="204"/>
    <x v="21"/>
    <x v="464"/>
    <x v="74"/>
    <x v="0"/>
    <x v="1"/>
    <x v="0"/>
    <x v="337"/>
  </r>
  <r>
    <x v="223"/>
    <x v="124"/>
    <x v="204"/>
    <x v="303"/>
    <x v="1"/>
    <x v="0"/>
    <x v="0"/>
    <x v="356"/>
  </r>
  <r>
    <x v="344"/>
    <x v="247"/>
    <x v="159"/>
    <x v="150"/>
    <x v="1"/>
    <x v="1"/>
    <x v="1"/>
    <x v="50"/>
  </r>
  <r>
    <x v="246"/>
    <x v="88"/>
    <x v="9"/>
    <x v="26"/>
    <x v="1"/>
    <x v="1"/>
    <x v="0"/>
    <x v="379"/>
  </r>
  <r>
    <x v="422"/>
    <x v="461"/>
    <x v="133"/>
    <x v="481"/>
    <x v="0"/>
    <x v="0"/>
    <x v="1"/>
    <x v="128"/>
  </r>
  <r>
    <x v="276"/>
    <x v="30"/>
    <x v="148"/>
    <x v="294"/>
    <x v="2"/>
    <x v="1"/>
    <x v="0"/>
    <x v="409"/>
  </r>
  <r>
    <x v="306"/>
    <x v="294"/>
    <x v="2"/>
    <x v="158"/>
    <x v="1"/>
    <x v="1"/>
    <x v="1"/>
    <x v="12"/>
  </r>
  <r>
    <x v="233"/>
    <x v="498"/>
    <x v="20"/>
    <x v="426"/>
    <x v="1"/>
    <x v="1"/>
    <x v="0"/>
    <x v="366"/>
  </r>
  <r>
    <x v="320"/>
    <x v="341"/>
    <x v="31"/>
    <x v="396"/>
    <x v="1"/>
    <x v="0"/>
    <x v="1"/>
    <x v="26"/>
  </r>
  <r>
    <x v="21"/>
    <x v="131"/>
    <x v="479"/>
    <x v="312"/>
    <x v="0"/>
    <x v="1"/>
    <x v="0"/>
    <x v="154"/>
  </r>
  <r>
    <x v="132"/>
    <x v="468"/>
    <x v="338"/>
    <x v="493"/>
    <x v="2"/>
    <x v="1"/>
    <x v="0"/>
    <x v="265"/>
  </r>
  <r>
    <x v="39"/>
    <x v="419"/>
    <x v="200"/>
    <x v="255"/>
    <x v="2"/>
    <x v="0"/>
    <x v="0"/>
    <x v="172"/>
  </r>
  <r>
    <x v="341"/>
    <x v="355"/>
    <x v="36"/>
    <x v="128"/>
    <x v="2"/>
    <x v="1"/>
    <x v="1"/>
    <x v="47"/>
  </r>
  <r>
    <x v="224"/>
    <x v="86"/>
    <x v="406"/>
    <x v="7"/>
    <x v="0"/>
    <x v="1"/>
    <x v="0"/>
    <x v="357"/>
  </r>
  <r>
    <x v="143"/>
    <x v="27"/>
    <x v="383"/>
    <x v="90"/>
    <x v="1"/>
    <x v="1"/>
    <x v="0"/>
    <x v="276"/>
  </r>
  <r>
    <x v="243"/>
    <x v="464"/>
    <x v="211"/>
    <x v="36"/>
    <x v="0"/>
    <x v="0"/>
    <x v="0"/>
    <x v="376"/>
  </r>
  <r>
    <x v="401"/>
    <x v="220"/>
    <x v="312"/>
    <x v="95"/>
    <x v="1"/>
    <x v="1"/>
    <x v="1"/>
    <x v="107"/>
  </r>
  <r>
    <x v="23"/>
    <x v="97"/>
    <x v="497"/>
    <x v="82"/>
    <x v="2"/>
    <x v="0"/>
    <x v="0"/>
    <x v="156"/>
  </r>
  <r>
    <x v="325"/>
    <x v="80"/>
    <x v="435"/>
    <x v="338"/>
    <x v="1"/>
    <x v="0"/>
    <x v="1"/>
    <x v="31"/>
  </r>
  <r>
    <x v="211"/>
    <x v="156"/>
    <x v="432"/>
    <x v="244"/>
    <x v="1"/>
    <x v="1"/>
    <x v="0"/>
    <x v="344"/>
  </r>
  <r>
    <x v="154"/>
    <x v="285"/>
    <x v="321"/>
    <x v="102"/>
    <x v="0"/>
    <x v="1"/>
    <x v="0"/>
    <x v="287"/>
  </r>
  <r>
    <x v="288"/>
    <x v="250"/>
    <x v="461"/>
    <x v="233"/>
    <x v="1"/>
    <x v="0"/>
    <x v="0"/>
    <x v="421"/>
  </r>
  <r>
    <x v="52"/>
    <x v="68"/>
    <x v="107"/>
    <x v="139"/>
    <x v="1"/>
    <x v="0"/>
    <x v="0"/>
    <x v="185"/>
  </r>
  <r>
    <x v="242"/>
    <x v="442"/>
    <x v="183"/>
    <x v="162"/>
    <x v="0"/>
    <x v="1"/>
    <x v="0"/>
    <x v="375"/>
  </r>
  <r>
    <x v="103"/>
    <x v="128"/>
    <x v="118"/>
    <x v="491"/>
    <x v="2"/>
    <x v="1"/>
    <x v="0"/>
    <x v="236"/>
  </r>
  <r>
    <x v="381"/>
    <x v="369"/>
    <x v="105"/>
    <x v="307"/>
    <x v="0"/>
    <x v="0"/>
    <x v="1"/>
    <x v="87"/>
  </r>
  <r>
    <x v="229"/>
    <x v="191"/>
    <x v="92"/>
    <x v="156"/>
    <x v="1"/>
    <x v="0"/>
    <x v="0"/>
    <x v="362"/>
  </r>
  <r>
    <x v="117"/>
    <x v="476"/>
    <x v="91"/>
    <x v="454"/>
    <x v="0"/>
    <x v="0"/>
    <x v="0"/>
    <x v="250"/>
  </r>
  <r>
    <x v="328"/>
    <x v="79"/>
    <x v="231"/>
    <x v="367"/>
    <x v="1"/>
    <x v="1"/>
    <x v="1"/>
    <x v="34"/>
  </r>
  <r>
    <x v="201"/>
    <x v="244"/>
    <x v="279"/>
    <x v="288"/>
    <x v="2"/>
    <x v="0"/>
    <x v="0"/>
    <x v="334"/>
  </r>
  <r>
    <x v="184"/>
    <x v="313"/>
    <x v="115"/>
    <x v="235"/>
    <x v="2"/>
    <x v="0"/>
    <x v="0"/>
    <x v="317"/>
  </r>
  <r>
    <x v="27"/>
    <x v="282"/>
    <x v="89"/>
    <x v="359"/>
    <x v="1"/>
    <x v="1"/>
    <x v="0"/>
    <x v="160"/>
  </r>
  <r>
    <x v="327"/>
    <x v="59"/>
    <x v="285"/>
    <x v="278"/>
    <x v="2"/>
    <x v="1"/>
    <x v="1"/>
    <x v="33"/>
  </r>
  <r>
    <x v="17"/>
    <x v="448"/>
    <x v="32"/>
    <x v="221"/>
    <x v="2"/>
    <x v="1"/>
    <x v="0"/>
    <x v="150"/>
  </r>
  <r>
    <x v="24"/>
    <x v="29"/>
    <x v="233"/>
    <x v="115"/>
    <x v="0"/>
    <x v="1"/>
    <x v="0"/>
    <x v="157"/>
  </r>
  <r>
    <x v="173"/>
    <x v="181"/>
    <x v="301"/>
    <x v="467"/>
    <x v="0"/>
    <x v="1"/>
    <x v="0"/>
    <x v="306"/>
  </r>
  <r>
    <x v="390"/>
    <x v="236"/>
    <x v="120"/>
    <x v="144"/>
    <x v="2"/>
    <x v="0"/>
    <x v="1"/>
    <x v="96"/>
  </r>
  <r>
    <x v="40"/>
    <x v="73"/>
    <x v="145"/>
    <x v="455"/>
    <x v="1"/>
    <x v="1"/>
    <x v="0"/>
    <x v="173"/>
  </r>
  <r>
    <x v="198"/>
    <x v="291"/>
    <x v="79"/>
    <x v="441"/>
    <x v="2"/>
    <x v="1"/>
    <x v="0"/>
    <x v="331"/>
  </r>
  <r>
    <x v="217"/>
    <x v="116"/>
    <x v="407"/>
    <x v="195"/>
    <x v="0"/>
    <x v="0"/>
    <x v="0"/>
    <x v="350"/>
  </r>
  <r>
    <x v="60"/>
    <x v="430"/>
    <x v="235"/>
    <x v="458"/>
    <x v="0"/>
    <x v="1"/>
    <x v="0"/>
    <x v="193"/>
  </r>
  <r>
    <x v="71"/>
    <x v="176"/>
    <x v="332"/>
    <x v="419"/>
    <x v="2"/>
    <x v="1"/>
    <x v="0"/>
    <x v="204"/>
  </r>
  <r>
    <x v="22"/>
    <x v="472"/>
    <x v="451"/>
    <x v="291"/>
    <x v="1"/>
    <x v="1"/>
    <x v="0"/>
    <x v="155"/>
  </r>
  <r>
    <x v="321"/>
    <x v="76"/>
    <x v="128"/>
    <x v="327"/>
    <x v="0"/>
    <x v="1"/>
    <x v="1"/>
    <x v="27"/>
  </r>
  <r>
    <x v="348"/>
    <x v="18"/>
    <x v="382"/>
    <x v="348"/>
    <x v="0"/>
    <x v="1"/>
    <x v="1"/>
    <x v="54"/>
  </r>
  <r>
    <x v="177"/>
    <x v="9"/>
    <x v="387"/>
    <x v="86"/>
    <x v="1"/>
    <x v="0"/>
    <x v="0"/>
    <x v="310"/>
  </r>
  <r>
    <x v="383"/>
    <x v="207"/>
    <x v="420"/>
    <x v="281"/>
    <x v="0"/>
    <x v="0"/>
    <x v="1"/>
    <x v="89"/>
  </r>
  <r>
    <x v="361"/>
    <x v="171"/>
    <x v="466"/>
    <x v="134"/>
    <x v="1"/>
    <x v="1"/>
    <x v="1"/>
    <x v="67"/>
  </r>
  <r>
    <x v="74"/>
    <x v="157"/>
    <x v="210"/>
    <x v="339"/>
    <x v="2"/>
    <x v="1"/>
    <x v="0"/>
    <x v="207"/>
  </r>
  <r>
    <x v="202"/>
    <x v="432"/>
    <x v="405"/>
    <x v="41"/>
    <x v="2"/>
    <x v="1"/>
    <x v="0"/>
    <x v="335"/>
  </r>
  <r>
    <x v="137"/>
    <x v="135"/>
    <x v="182"/>
    <x v="375"/>
    <x v="1"/>
    <x v="0"/>
    <x v="0"/>
    <x v="270"/>
  </r>
  <r>
    <x v="260"/>
    <x v="201"/>
    <x v="274"/>
    <x v="11"/>
    <x v="0"/>
    <x v="0"/>
    <x v="0"/>
    <x v="393"/>
  </r>
  <r>
    <x v="151"/>
    <x v="227"/>
    <x v="412"/>
    <x v="91"/>
    <x v="0"/>
    <x v="0"/>
    <x v="0"/>
    <x v="284"/>
  </r>
  <r>
    <x v="285"/>
    <x v="149"/>
    <x v="329"/>
    <x v="58"/>
    <x v="0"/>
    <x v="0"/>
    <x v="0"/>
    <x v="418"/>
  </r>
  <r>
    <x v="175"/>
    <x v="440"/>
    <x v="76"/>
    <x v="364"/>
    <x v="0"/>
    <x v="0"/>
    <x v="0"/>
    <x v="308"/>
  </r>
  <r>
    <x v="340"/>
    <x v="151"/>
    <x v="185"/>
    <x v="151"/>
    <x v="0"/>
    <x v="0"/>
    <x v="1"/>
    <x v="46"/>
  </r>
  <r>
    <x v="271"/>
    <x v="450"/>
    <x v="483"/>
    <x v="10"/>
    <x v="0"/>
    <x v="1"/>
    <x v="0"/>
    <x v="404"/>
  </r>
  <r>
    <x v="377"/>
    <x v="268"/>
    <x v="201"/>
    <x v="113"/>
    <x v="2"/>
    <x v="1"/>
    <x v="1"/>
    <x v="83"/>
  </r>
  <r>
    <x v="16"/>
    <x v="376"/>
    <x v="22"/>
    <x v="405"/>
    <x v="1"/>
    <x v="0"/>
    <x v="0"/>
    <x v="149"/>
  </r>
  <r>
    <x v="374"/>
    <x v="292"/>
    <x v="199"/>
    <x v="313"/>
    <x v="1"/>
    <x v="0"/>
    <x v="1"/>
    <x v="80"/>
  </r>
  <r>
    <x v="260"/>
    <x v="12"/>
    <x v="417"/>
    <x v="300"/>
    <x v="1"/>
    <x v="1"/>
    <x v="0"/>
    <x v="393"/>
  </r>
  <r>
    <x v="128"/>
    <x v="324"/>
    <x v="475"/>
    <x v="370"/>
    <x v="0"/>
    <x v="0"/>
    <x v="0"/>
    <x v="261"/>
  </r>
  <r>
    <x v="96"/>
    <x v="155"/>
    <x v="187"/>
    <x v="459"/>
    <x v="2"/>
    <x v="0"/>
    <x v="0"/>
    <x v="229"/>
  </r>
  <r>
    <x v="240"/>
    <x v="353"/>
    <x v="41"/>
    <x v="473"/>
    <x v="2"/>
    <x v="0"/>
    <x v="0"/>
    <x v="373"/>
  </r>
  <r>
    <x v="347"/>
    <x v="5"/>
    <x v="302"/>
    <x v="83"/>
    <x v="0"/>
    <x v="1"/>
    <x v="1"/>
    <x v="53"/>
  </r>
  <r>
    <x v="302"/>
    <x v="488"/>
    <x v="114"/>
    <x v="247"/>
    <x v="2"/>
    <x v="1"/>
    <x v="1"/>
    <x v="8"/>
  </r>
  <r>
    <x v="378"/>
    <x v="136"/>
    <x v="378"/>
    <x v="382"/>
    <x v="1"/>
    <x v="1"/>
    <x v="1"/>
    <x v="84"/>
  </r>
  <r>
    <x v="373"/>
    <x v="281"/>
    <x v="339"/>
    <x v="166"/>
    <x v="1"/>
    <x v="1"/>
    <x v="1"/>
    <x v="79"/>
  </r>
  <r>
    <x v="92"/>
    <x v="257"/>
    <x v="361"/>
    <x v="336"/>
    <x v="2"/>
    <x v="0"/>
    <x v="0"/>
    <x v="225"/>
  </r>
  <r>
    <x v="270"/>
    <x v="392"/>
    <x v="415"/>
    <x v="68"/>
    <x v="0"/>
    <x v="0"/>
    <x v="0"/>
    <x v="403"/>
  </r>
  <r>
    <x v="94"/>
    <x v="223"/>
    <x v="356"/>
    <x v="436"/>
    <x v="0"/>
    <x v="1"/>
    <x v="0"/>
    <x v="227"/>
  </r>
  <r>
    <x v="57"/>
    <x v="41"/>
    <x v="360"/>
    <x v="24"/>
    <x v="2"/>
    <x v="0"/>
    <x v="0"/>
    <x v="190"/>
  </r>
  <r>
    <x v="216"/>
    <x v="187"/>
    <x v="351"/>
    <x v="23"/>
    <x v="1"/>
    <x v="1"/>
    <x v="0"/>
    <x v="349"/>
  </r>
  <r>
    <x v="308"/>
    <x v="251"/>
    <x v="219"/>
    <x v="143"/>
    <x v="0"/>
    <x v="1"/>
    <x v="1"/>
    <x v="14"/>
  </r>
  <r>
    <x v="335"/>
    <x v="385"/>
    <x v="123"/>
    <x v="257"/>
    <x v="0"/>
    <x v="1"/>
    <x v="1"/>
    <x v="41"/>
  </r>
  <r>
    <x v="322"/>
    <x v="264"/>
    <x v="58"/>
    <x v="78"/>
    <x v="0"/>
    <x v="0"/>
    <x v="1"/>
    <x v="28"/>
  </r>
  <r>
    <x v="272"/>
    <x v="96"/>
    <x v="104"/>
    <x v="284"/>
    <x v="1"/>
    <x v="1"/>
    <x v="0"/>
    <x v="405"/>
  </r>
  <r>
    <x v="299"/>
    <x v="115"/>
    <x v="310"/>
    <x v="6"/>
    <x v="0"/>
    <x v="0"/>
    <x v="1"/>
    <x v="5"/>
  </r>
  <r>
    <x v="364"/>
    <x v="301"/>
    <x v="446"/>
    <x v="47"/>
    <x v="0"/>
    <x v="0"/>
    <x v="1"/>
    <x v="70"/>
  </r>
  <r>
    <x v="412"/>
    <x v="224"/>
    <x v="458"/>
    <x v="17"/>
    <x v="0"/>
    <x v="1"/>
    <x v="1"/>
    <x v="118"/>
  </r>
  <r>
    <x v="407"/>
    <x v="194"/>
    <x v="277"/>
    <x v="351"/>
    <x v="0"/>
    <x v="1"/>
    <x v="1"/>
    <x v="113"/>
  </r>
  <r>
    <x v="206"/>
    <x v="230"/>
    <x v="369"/>
    <x v="246"/>
    <x v="0"/>
    <x v="1"/>
    <x v="0"/>
    <x v="339"/>
  </r>
  <r>
    <x v="112"/>
    <x v="202"/>
    <x v="485"/>
    <x v="65"/>
    <x v="2"/>
    <x v="0"/>
    <x v="0"/>
    <x v="245"/>
  </r>
  <r>
    <x v="391"/>
    <x v="391"/>
    <x v="16"/>
    <x v="409"/>
    <x v="1"/>
    <x v="0"/>
    <x v="1"/>
    <x v="97"/>
  </r>
  <r>
    <x v="109"/>
    <x v="492"/>
    <x v="418"/>
    <x v="432"/>
    <x v="2"/>
    <x v="0"/>
    <x v="0"/>
    <x v="242"/>
  </r>
  <r>
    <x v="155"/>
    <x v="28"/>
    <x v="357"/>
    <x v="48"/>
    <x v="0"/>
    <x v="0"/>
    <x v="0"/>
    <x v="288"/>
  </r>
  <r>
    <x v="302"/>
    <x v="190"/>
    <x v="436"/>
    <x v="209"/>
    <x v="0"/>
    <x v="1"/>
    <x v="1"/>
    <x v="8"/>
  </r>
  <r>
    <x v="224"/>
    <x v="489"/>
    <x v="266"/>
    <x v="200"/>
    <x v="2"/>
    <x v="0"/>
    <x v="0"/>
    <x v="357"/>
  </r>
  <r>
    <x v="124"/>
    <x v="330"/>
    <x v="488"/>
    <x v="445"/>
    <x v="0"/>
    <x v="1"/>
    <x v="0"/>
    <x v="257"/>
  </r>
  <r>
    <x v="191"/>
    <x v="297"/>
    <x v="27"/>
    <x v="450"/>
    <x v="0"/>
    <x v="1"/>
    <x v="0"/>
    <x v="324"/>
  </r>
  <r>
    <x v="157"/>
    <x v="120"/>
    <x v="429"/>
    <x v="251"/>
    <x v="0"/>
    <x v="1"/>
    <x v="0"/>
    <x v="290"/>
  </r>
  <r>
    <x v="271"/>
    <x v="83"/>
    <x v="444"/>
    <x v="145"/>
    <x v="0"/>
    <x v="0"/>
    <x v="0"/>
    <x v="404"/>
  </r>
  <r>
    <x v="188"/>
    <x v="457"/>
    <x v="170"/>
    <x v="34"/>
    <x v="1"/>
    <x v="1"/>
    <x v="0"/>
    <x v="321"/>
  </r>
  <r>
    <x v="409"/>
    <x v="160"/>
    <x v="482"/>
    <x v="378"/>
    <x v="0"/>
    <x v="1"/>
    <x v="1"/>
    <x v="115"/>
  </r>
  <r>
    <x v="247"/>
    <x v="491"/>
    <x v="65"/>
    <x v="314"/>
    <x v="0"/>
    <x v="0"/>
    <x v="0"/>
    <x v="380"/>
  </r>
  <r>
    <x v="129"/>
    <x v="243"/>
    <x v="208"/>
    <x v="361"/>
    <x v="1"/>
    <x v="0"/>
    <x v="0"/>
    <x v="262"/>
  </r>
  <r>
    <x v="58"/>
    <x v="316"/>
    <x v="12"/>
    <x v="280"/>
    <x v="2"/>
    <x v="0"/>
    <x v="0"/>
    <x v="191"/>
  </r>
  <r>
    <x v="244"/>
    <x v="328"/>
    <x v="246"/>
    <x v="192"/>
    <x v="0"/>
    <x v="1"/>
    <x v="0"/>
    <x v="377"/>
  </r>
  <r>
    <x v="398"/>
    <x v="309"/>
    <x v="470"/>
    <x v="93"/>
    <x v="1"/>
    <x v="0"/>
    <x v="1"/>
    <x v="104"/>
  </r>
  <r>
    <x v="205"/>
    <x v="189"/>
    <x v="131"/>
    <x v="417"/>
    <x v="0"/>
    <x v="0"/>
    <x v="0"/>
    <x v="338"/>
  </r>
  <r>
    <x v="163"/>
    <x v="380"/>
    <x v="139"/>
    <x v="258"/>
    <x v="2"/>
    <x v="1"/>
    <x v="0"/>
    <x v="296"/>
  </r>
  <r>
    <x v="400"/>
    <x v="375"/>
    <x v="130"/>
    <x v="492"/>
    <x v="1"/>
    <x v="1"/>
    <x v="1"/>
    <x v="106"/>
  </r>
  <r>
    <x v="420"/>
    <x v="205"/>
    <x v="237"/>
    <x v="345"/>
    <x v="1"/>
    <x v="1"/>
    <x v="1"/>
    <x v="126"/>
  </r>
  <r>
    <x v="11"/>
    <x v="217"/>
    <x v="443"/>
    <x v="324"/>
    <x v="0"/>
    <x v="1"/>
    <x v="0"/>
    <x v="144"/>
  </r>
  <r>
    <x v="91"/>
    <x v="117"/>
    <x v="242"/>
    <x v="283"/>
    <x v="0"/>
    <x v="0"/>
    <x v="0"/>
    <x v="224"/>
  </r>
  <r>
    <x v="241"/>
    <x v="125"/>
    <x v="74"/>
    <x v="142"/>
    <x v="1"/>
    <x v="1"/>
    <x v="0"/>
    <x v="374"/>
  </r>
  <r>
    <x v="347"/>
    <x v="199"/>
    <x v="164"/>
    <x v="411"/>
    <x v="2"/>
    <x v="1"/>
    <x v="1"/>
    <x v="53"/>
  </r>
  <r>
    <x v="263"/>
    <x v="182"/>
    <x v="276"/>
    <x v="111"/>
    <x v="0"/>
    <x v="0"/>
    <x v="0"/>
    <x v="396"/>
  </r>
  <r>
    <x v="418"/>
    <x v="129"/>
    <x v="251"/>
    <x v="326"/>
    <x v="1"/>
    <x v="1"/>
    <x v="1"/>
    <x v="124"/>
  </r>
  <r>
    <x v="105"/>
    <x v="164"/>
    <x v="75"/>
    <x v="199"/>
    <x v="1"/>
    <x v="1"/>
    <x v="0"/>
    <x v="238"/>
  </r>
  <r>
    <x v="341"/>
    <x v="452"/>
    <x v="116"/>
    <x v="494"/>
    <x v="0"/>
    <x v="1"/>
    <x v="1"/>
    <x v="47"/>
  </r>
  <r>
    <x v="126"/>
    <x v="233"/>
    <x v="344"/>
    <x v="53"/>
    <x v="1"/>
    <x v="1"/>
    <x v="0"/>
    <x v="259"/>
  </r>
  <r>
    <x v="232"/>
    <x v="449"/>
    <x v="194"/>
    <x v="55"/>
    <x v="2"/>
    <x v="1"/>
    <x v="0"/>
    <x v="365"/>
  </r>
  <r>
    <x v="312"/>
    <x v="60"/>
    <x v="426"/>
    <x v="259"/>
    <x v="0"/>
    <x v="1"/>
    <x v="1"/>
    <x v="18"/>
  </r>
  <r>
    <x v="181"/>
    <x v="147"/>
    <x v="275"/>
    <x v="275"/>
    <x v="1"/>
    <x v="0"/>
    <x v="0"/>
    <x v="314"/>
  </r>
  <r>
    <x v="425"/>
    <x v="256"/>
    <x v="149"/>
    <x v="299"/>
    <x v="1"/>
    <x v="0"/>
    <x v="1"/>
    <x v="131"/>
  </r>
  <r>
    <x v="46"/>
    <x v="320"/>
    <x v="295"/>
    <x v="271"/>
    <x v="2"/>
    <x v="1"/>
    <x v="0"/>
    <x v="179"/>
  </r>
  <r>
    <x v="389"/>
    <x v="203"/>
    <x v="70"/>
    <x v="136"/>
    <x v="0"/>
    <x v="1"/>
    <x v="1"/>
    <x v="95"/>
  </r>
  <r>
    <x v="366"/>
    <x v="142"/>
    <x v="384"/>
    <x v="452"/>
    <x v="2"/>
    <x v="0"/>
    <x v="1"/>
    <x v="72"/>
  </r>
  <r>
    <x v="374"/>
    <x v="387"/>
    <x v="150"/>
    <x v="477"/>
    <x v="2"/>
    <x v="0"/>
    <x v="1"/>
    <x v="80"/>
  </r>
  <r>
    <x v="210"/>
    <x v="447"/>
    <x v="273"/>
    <x v="120"/>
    <x v="0"/>
    <x v="1"/>
    <x v="0"/>
    <x v="343"/>
  </r>
  <r>
    <x v="123"/>
    <x v="362"/>
    <x v="141"/>
    <x v="325"/>
    <x v="1"/>
    <x v="0"/>
    <x v="0"/>
    <x v="256"/>
  </r>
  <r>
    <x v="309"/>
    <x v="274"/>
    <x v="437"/>
    <x v="176"/>
    <x v="1"/>
    <x v="0"/>
    <x v="1"/>
    <x v="15"/>
  </r>
  <r>
    <x v="334"/>
    <x v="108"/>
    <x v="176"/>
    <x v="38"/>
    <x v="0"/>
    <x v="0"/>
    <x v="1"/>
    <x v="40"/>
  </r>
  <r>
    <x v="391"/>
    <x v="318"/>
    <x v="265"/>
    <x v="448"/>
    <x v="2"/>
    <x v="0"/>
    <x v="1"/>
    <x v="97"/>
  </r>
  <r>
    <x v="142"/>
    <x v="295"/>
    <x v="172"/>
    <x v="196"/>
    <x v="0"/>
    <x v="0"/>
    <x v="0"/>
    <x v="275"/>
  </r>
  <r>
    <x v="3"/>
    <x v="169"/>
    <x v="6"/>
    <x v="368"/>
    <x v="1"/>
    <x v="0"/>
    <x v="0"/>
    <x v="136"/>
  </r>
  <r>
    <x v="392"/>
    <x v="77"/>
    <x v="229"/>
    <x v="164"/>
    <x v="2"/>
    <x v="0"/>
    <x v="1"/>
    <x v="98"/>
  </r>
  <r>
    <x v="42"/>
    <x v="93"/>
    <x v="110"/>
    <x v="469"/>
    <x v="1"/>
    <x v="1"/>
    <x v="0"/>
    <x v="175"/>
  </r>
  <r>
    <x v="381"/>
    <x v="82"/>
    <x v="163"/>
    <x v="73"/>
    <x v="2"/>
    <x v="1"/>
    <x v="1"/>
    <x v="87"/>
  </r>
  <r>
    <x v="5"/>
    <x v="455"/>
    <x v="397"/>
    <x v="353"/>
    <x v="2"/>
    <x v="1"/>
    <x v="0"/>
    <x v="138"/>
  </r>
  <r>
    <x v="231"/>
    <x v="340"/>
    <x v="430"/>
    <x v="178"/>
    <x v="1"/>
    <x v="0"/>
    <x v="0"/>
    <x v="364"/>
  </r>
  <r>
    <x v="226"/>
    <x v="138"/>
    <x v="142"/>
    <x v="428"/>
    <x v="1"/>
    <x v="0"/>
    <x v="0"/>
    <x v="359"/>
  </r>
  <r>
    <x v="85"/>
    <x v="458"/>
    <x v="11"/>
    <x v="402"/>
    <x v="2"/>
    <x v="0"/>
    <x v="0"/>
    <x v="218"/>
  </r>
  <r>
    <x v="8"/>
    <x v="401"/>
    <x v="42"/>
    <x v="256"/>
    <x v="2"/>
    <x v="0"/>
    <x v="0"/>
    <x v="141"/>
  </r>
  <r>
    <x v="174"/>
    <x v="277"/>
    <x v="212"/>
    <x v="254"/>
    <x v="1"/>
    <x v="1"/>
    <x v="0"/>
    <x v="307"/>
  </r>
  <r>
    <x v="108"/>
    <x v="94"/>
    <x v="60"/>
    <x v="236"/>
    <x v="2"/>
    <x v="1"/>
    <x v="0"/>
    <x v="241"/>
  </r>
  <r>
    <x v="356"/>
    <x v="162"/>
    <x v="111"/>
    <x v="185"/>
    <x v="2"/>
    <x v="1"/>
    <x v="1"/>
    <x v="62"/>
  </r>
  <r>
    <x v="345"/>
    <x v="361"/>
    <x v="10"/>
    <x v="293"/>
    <x v="2"/>
    <x v="0"/>
    <x v="1"/>
    <x v="51"/>
  </r>
  <r>
    <x v="33"/>
    <x v="253"/>
    <x v="248"/>
    <x v="384"/>
    <x v="0"/>
    <x v="1"/>
    <x v="0"/>
    <x v="166"/>
  </r>
  <r>
    <x v="117"/>
    <x v="61"/>
    <x v="122"/>
    <x v="483"/>
    <x v="0"/>
    <x v="1"/>
    <x v="0"/>
    <x v="250"/>
  </r>
  <r>
    <x v="83"/>
    <x v="179"/>
    <x v="372"/>
    <x v="214"/>
    <x v="2"/>
    <x v="1"/>
    <x v="0"/>
    <x v="216"/>
  </r>
  <r>
    <x v="114"/>
    <x v="405"/>
    <x v="63"/>
    <x v="133"/>
    <x v="2"/>
    <x v="0"/>
    <x v="0"/>
    <x v="247"/>
  </r>
  <r>
    <x v="394"/>
    <x v="17"/>
    <x v="395"/>
    <x v="309"/>
    <x v="2"/>
    <x v="0"/>
    <x v="1"/>
    <x v="100"/>
  </r>
  <r>
    <x v="99"/>
    <x v="71"/>
    <x v="263"/>
    <x v="453"/>
    <x v="2"/>
    <x v="1"/>
    <x v="0"/>
    <x v="232"/>
  </r>
  <r>
    <x v="76"/>
    <x v="469"/>
    <x v="411"/>
    <x v="422"/>
    <x v="2"/>
    <x v="0"/>
    <x v="0"/>
    <x v="209"/>
  </r>
  <r>
    <x v="353"/>
    <x v="384"/>
    <x v="77"/>
    <x v="211"/>
    <x v="2"/>
    <x v="0"/>
    <x v="1"/>
    <x v="59"/>
  </r>
  <r>
    <x v="179"/>
    <x v="433"/>
    <x v="491"/>
    <x v="397"/>
    <x v="0"/>
    <x v="1"/>
    <x v="0"/>
    <x v="312"/>
  </r>
  <r>
    <x v="197"/>
    <x v="423"/>
    <x v="340"/>
    <x v="442"/>
    <x v="0"/>
    <x v="0"/>
    <x v="0"/>
    <x v="330"/>
  </r>
  <r>
    <x v="138"/>
    <x v="107"/>
    <x v="401"/>
    <x v="54"/>
    <x v="1"/>
    <x v="1"/>
    <x v="0"/>
    <x v="271"/>
  </r>
  <r>
    <x v="199"/>
    <x v="85"/>
    <x v="326"/>
    <x v="141"/>
    <x v="0"/>
    <x v="0"/>
    <x v="0"/>
    <x v="332"/>
  </r>
  <r>
    <x v="148"/>
    <x v="305"/>
    <x v="57"/>
    <x v="27"/>
    <x v="2"/>
    <x v="1"/>
    <x v="0"/>
    <x v="281"/>
  </r>
  <r>
    <x v="195"/>
    <x v="293"/>
    <x v="0"/>
    <x v="434"/>
    <x v="2"/>
    <x v="0"/>
    <x v="0"/>
    <x v="328"/>
  </r>
  <r>
    <x v="298"/>
    <x v="6"/>
    <x v="367"/>
    <x v="106"/>
    <x v="1"/>
    <x v="0"/>
    <x v="1"/>
    <x v="4"/>
  </r>
  <r>
    <x v="90"/>
    <x v="235"/>
    <x v="421"/>
    <x v="268"/>
    <x v="1"/>
    <x v="0"/>
    <x v="0"/>
    <x v="223"/>
  </r>
  <r>
    <x v="86"/>
    <x v="329"/>
    <x v="346"/>
    <x v="32"/>
    <x v="2"/>
    <x v="1"/>
    <x v="0"/>
    <x v="219"/>
  </r>
  <r>
    <x v="10"/>
    <x v="377"/>
    <x v="193"/>
    <x v="369"/>
    <x v="1"/>
    <x v="1"/>
    <x v="0"/>
    <x v="143"/>
  </r>
  <r>
    <x v="82"/>
    <x v="222"/>
    <x v="398"/>
    <x v="37"/>
    <x v="0"/>
    <x v="0"/>
    <x v="0"/>
    <x v="215"/>
  </r>
  <r>
    <x v="219"/>
    <x v="334"/>
    <x v="386"/>
    <x v="390"/>
    <x v="0"/>
    <x v="0"/>
    <x v="0"/>
    <x v="352"/>
  </r>
  <r>
    <x v="317"/>
    <x v="1"/>
    <x v="352"/>
    <x v="468"/>
    <x v="2"/>
    <x v="0"/>
    <x v="1"/>
    <x v="23"/>
  </r>
  <r>
    <x v="369"/>
    <x v="75"/>
    <x v="468"/>
    <x v="210"/>
    <x v="1"/>
    <x v="0"/>
    <x v="1"/>
    <x v="75"/>
  </r>
  <r>
    <x v="423"/>
    <x v="288"/>
    <x v="259"/>
    <x v="4"/>
    <x v="2"/>
    <x v="0"/>
    <x v="1"/>
    <x v="129"/>
  </r>
  <r>
    <x v="34"/>
    <x v="296"/>
    <x v="228"/>
    <x v="59"/>
    <x v="0"/>
    <x v="0"/>
    <x v="0"/>
    <x v="167"/>
  </r>
  <r>
    <x v="164"/>
    <x v="46"/>
    <x v="271"/>
    <x v="376"/>
    <x v="1"/>
    <x v="0"/>
    <x v="0"/>
    <x v="297"/>
  </r>
  <r>
    <x v="171"/>
    <x v="19"/>
    <x v="439"/>
    <x v="490"/>
    <x v="2"/>
    <x v="0"/>
    <x v="0"/>
    <x v="304"/>
  </r>
  <r>
    <x v="259"/>
    <x v="308"/>
    <x v="447"/>
    <x v="237"/>
    <x v="0"/>
    <x v="1"/>
    <x v="0"/>
    <x v="392"/>
  </r>
  <r>
    <x v="315"/>
    <x v="221"/>
    <x v="127"/>
    <x v="286"/>
    <x v="1"/>
    <x v="1"/>
    <x v="1"/>
    <x v="21"/>
  </r>
  <r>
    <x v="329"/>
    <x v="470"/>
    <x v="281"/>
    <x v="311"/>
    <x v="0"/>
    <x v="0"/>
    <x v="1"/>
    <x v="35"/>
  </r>
  <r>
    <x v="130"/>
    <x v="70"/>
    <x v="109"/>
    <x v="386"/>
    <x v="1"/>
    <x v="0"/>
    <x v="0"/>
    <x v="263"/>
  </r>
  <r>
    <x v="13"/>
    <x v="270"/>
    <x v="409"/>
    <x v="240"/>
    <x v="2"/>
    <x v="0"/>
    <x v="0"/>
    <x v="146"/>
  </r>
  <r>
    <x v="48"/>
    <x v="421"/>
    <x v="328"/>
    <x v="430"/>
    <x v="1"/>
    <x v="1"/>
    <x v="0"/>
    <x v="181"/>
  </r>
  <r>
    <x v="6"/>
    <x v="152"/>
    <x v="463"/>
    <x v="266"/>
    <x v="0"/>
    <x v="1"/>
    <x v="0"/>
    <x v="139"/>
  </r>
  <r>
    <x v="193"/>
    <x v="126"/>
    <x v="442"/>
    <x v="39"/>
    <x v="1"/>
    <x v="0"/>
    <x v="0"/>
    <x v="326"/>
  </r>
  <r>
    <x v="89"/>
    <x v="44"/>
    <x v="85"/>
    <x v="446"/>
    <x v="0"/>
    <x v="1"/>
    <x v="0"/>
    <x v="222"/>
  </r>
  <r>
    <x v="162"/>
    <x v="327"/>
    <x v="477"/>
    <x v="479"/>
    <x v="0"/>
    <x v="1"/>
    <x v="0"/>
    <x v="295"/>
  </r>
  <r>
    <x v="60"/>
    <x v="49"/>
    <x v="147"/>
    <x v="94"/>
    <x v="1"/>
    <x v="1"/>
    <x v="0"/>
    <x v="193"/>
  </r>
  <r>
    <x v="162"/>
    <x v="200"/>
    <x v="423"/>
    <x v="215"/>
    <x v="2"/>
    <x v="1"/>
    <x v="0"/>
    <x v="295"/>
  </r>
  <r>
    <x v="212"/>
    <x v="20"/>
    <x v="467"/>
    <x v="174"/>
    <x v="1"/>
    <x v="1"/>
    <x v="0"/>
    <x v="345"/>
  </r>
  <r>
    <x v="187"/>
    <x v="63"/>
    <x v="94"/>
    <x v="470"/>
    <x v="2"/>
    <x v="1"/>
    <x v="0"/>
    <x v="320"/>
  </r>
  <r>
    <x v="283"/>
    <x v="486"/>
    <x v="97"/>
    <x v="223"/>
    <x v="2"/>
    <x v="1"/>
    <x v="0"/>
    <x v="416"/>
  </r>
  <r>
    <x v="43"/>
    <x v="89"/>
    <x v="99"/>
    <x v="263"/>
    <x v="2"/>
    <x v="1"/>
    <x v="0"/>
    <x v="176"/>
  </r>
  <r>
    <x v="7"/>
    <x v="418"/>
    <x v="49"/>
    <x v="203"/>
    <x v="0"/>
    <x v="1"/>
    <x v="0"/>
    <x v="140"/>
  </r>
  <r>
    <x v="49"/>
    <x v="43"/>
    <x v="102"/>
    <x v="22"/>
    <x v="0"/>
    <x v="1"/>
    <x v="0"/>
    <x v="182"/>
  </r>
  <r>
    <x v="265"/>
    <x v="130"/>
    <x v="286"/>
    <x v="478"/>
    <x v="0"/>
    <x v="1"/>
    <x v="0"/>
    <x v="398"/>
  </r>
  <r>
    <x v="140"/>
    <x v="95"/>
    <x v="267"/>
    <x v="392"/>
    <x v="0"/>
    <x v="1"/>
    <x v="0"/>
    <x v="273"/>
  </r>
  <r>
    <x v="257"/>
    <x v="148"/>
    <x v="334"/>
    <x v="444"/>
    <x v="2"/>
    <x v="0"/>
    <x v="0"/>
    <x v="390"/>
  </r>
  <r>
    <x v="217"/>
    <x v="289"/>
    <x v="499"/>
    <x v="49"/>
    <x v="1"/>
    <x v="0"/>
    <x v="0"/>
    <x v="350"/>
  </r>
  <r>
    <x v="351"/>
    <x v="372"/>
    <x v="90"/>
    <x v="230"/>
    <x v="1"/>
    <x v="0"/>
    <x v="1"/>
    <x v="57"/>
  </r>
  <r>
    <x v="41"/>
    <x v="100"/>
    <x v="300"/>
    <x v="14"/>
    <x v="0"/>
    <x v="1"/>
    <x v="0"/>
    <x v="174"/>
  </r>
  <r>
    <x v="225"/>
    <x v="436"/>
    <x v="298"/>
    <x v="50"/>
    <x v="2"/>
    <x v="0"/>
    <x v="0"/>
    <x v="358"/>
  </r>
  <r>
    <x v="0"/>
    <x v="48"/>
    <x v="59"/>
    <x v="193"/>
    <x v="0"/>
    <x v="0"/>
    <x v="0"/>
    <x v="133"/>
  </r>
  <r>
    <x v="300"/>
    <x v="153"/>
    <x v="389"/>
    <x v="46"/>
    <x v="1"/>
    <x v="0"/>
    <x v="1"/>
    <x v="6"/>
  </r>
  <r>
    <x v="293"/>
    <x v="454"/>
    <x v="404"/>
    <x v="160"/>
    <x v="1"/>
    <x v="0"/>
    <x v="0"/>
    <x v="426"/>
  </r>
  <r>
    <x v="314"/>
    <x v="127"/>
    <x v="428"/>
    <x v="188"/>
    <x v="0"/>
    <x v="0"/>
    <x v="1"/>
    <x v="20"/>
  </r>
  <r>
    <x v="67"/>
    <x v="446"/>
    <x v="487"/>
    <x v="322"/>
    <x v="0"/>
    <x v="1"/>
    <x v="0"/>
    <x v="200"/>
  </r>
  <r>
    <x v="387"/>
    <x v="474"/>
    <x v="319"/>
    <x v="296"/>
    <x v="0"/>
    <x v="0"/>
    <x v="1"/>
    <x v="93"/>
  </r>
  <r>
    <x v="50"/>
    <x v="287"/>
    <x v="330"/>
    <x v="439"/>
    <x v="1"/>
    <x v="1"/>
    <x v="0"/>
    <x v="183"/>
  </r>
  <r>
    <x v="63"/>
    <x v="14"/>
    <x v="425"/>
    <x v="91"/>
    <x v="1"/>
    <x v="1"/>
    <x v="0"/>
    <x v="196"/>
  </r>
  <r>
    <x v="159"/>
    <x v="304"/>
    <x v="399"/>
    <x v="317"/>
    <x v="1"/>
    <x v="0"/>
    <x v="0"/>
    <x v="292"/>
  </r>
  <r>
    <x v="205"/>
    <x v="143"/>
    <x v="336"/>
    <x v="71"/>
    <x v="1"/>
    <x v="1"/>
    <x v="0"/>
    <x v="338"/>
  </r>
  <r>
    <x v="147"/>
    <x v="265"/>
    <x v="216"/>
    <x v="253"/>
    <x v="1"/>
    <x v="1"/>
    <x v="0"/>
    <x v="280"/>
  </r>
  <r>
    <x v="176"/>
    <x v="146"/>
    <x v="196"/>
    <x v="202"/>
    <x v="1"/>
    <x v="1"/>
    <x v="0"/>
    <x v="309"/>
  </r>
  <r>
    <x v="158"/>
    <x v="335"/>
    <x v="68"/>
    <x v="433"/>
    <x v="0"/>
    <x v="1"/>
    <x v="0"/>
    <x v="291"/>
  </r>
  <r>
    <x v="36"/>
    <x v="254"/>
    <x v="287"/>
    <x v="153"/>
    <x v="0"/>
    <x v="1"/>
    <x v="0"/>
    <x v="169"/>
  </r>
  <r>
    <x v="100"/>
    <x v="431"/>
    <x v="484"/>
    <x v="260"/>
    <x v="1"/>
    <x v="0"/>
    <x v="0"/>
    <x v="233"/>
  </r>
  <r>
    <x v="410"/>
    <x v="336"/>
    <x v="474"/>
    <x v="482"/>
    <x v="2"/>
    <x v="1"/>
    <x v="1"/>
    <x v="116"/>
  </r>
  <r>
    <x v="339"/>
    <x v="319"/>
    <x v="37"/>
    <x v="232"/>
    <x v="0"/>
    <x v="0"/>
    <x v="1"/>
    <x v="45"/>
  </r>
  <r>
    <x v="139"/>
    <x v="119"/>
    <x v="374"/>
    <x v="171"/>
    <x v="2"/>
    <x v="1"/>
    <x v="0"/>
    <x v="272"/>
  </r>
  <r>
    <x v="127"/>
    <x v="81"/>
    <x v="381"/>
    <x v="28"/>
    <x v="2"/>
    <x v="1"/>
    <x v="0"/>
    <x v="260"/>
  </r>
  <r>
    <x v="214"/>
    <x v="438"/>
    <x v="294"/>
    <x v="427"/>
    <x v="0"/>
    <x v="0"/>
    <x v="0"/>
    <x v="347"/>
  </r>
  <r>
    <x v="330"/>
    <x v="35"/>
    <x v="44"/>
    <x v="167"/>
    <x v="1"/>
    <x v="0"/>
    <x v="1"/>
    <x v="36"/>
  </r>
  <r>
    <x v="252"/>
    <x v="161"/>
    <x v="136"/>
    <x v="110"/>
    <x v="1"/>
    <x v="0"/>
    <x v="0"/>
    <x v="385"/>
  </r>
  <r>
    <x v="273"/>
    <x v="99"/>
    <x v="82"/>
    <x v="1"/>
    <x v="0"/>
    <x v="1"/>
    <x v="0"/>
    <x v="406"/>
  </r>
  <r>
    <x v="304"/>
    <x v="415"/>
    <x v="14"/>
    <x v="383"/>
    <x v="0"/>
    <x v="0"/>
    <x v="1"/>
    <x v="10"/>
  </r>
  <r>
    <x v="89"/>
    <x v="8"/>
    <x v="236"/>
    <x v="208"/>
    <x v="0"/>
    <x v="0"/>
    <x v="0"/>
    <x v="222"/>
  </r>
  <r>
    <x v="79"/>
    <x v="216"/>
    <x v="255"/>
    <x v="33"/>
    <x v="0"/>
    <x v="1"/>
    <x v="0"/>
    <x v="212"/>
  </r>
  <r>
    <x v="262"/>
    <x v="132"/>
    <x v="47"/>
    <x v="198"/>
    <x v="0"/>
    <x v="0"/>
    <x v="0"/>
    <x v="395"/>
  </r>
  <r>
    <x v="406"/>
    <x v="331"/>
    <x v="221"/>
    <x v="464"/>
    <x v="0"/>
    <x v="1"/>
    <x v="1"/>
    <x v="112"/>
  </r>
  <r>
    <x v="279"/>
    <x v="399"/>
    <x v="113"/>
    <x v="79"/>
    <x v="2"/>
    <x v="1"/>
    <x v="0"/>
    <x v="412"/>
  </r>
  <r>
    <x v="255"/>
    <x v="92"/>
    <x v="157"/>
    <x v="109"/>
    <x v="2"/>
    <x v="1"/>
    <x v="0"/>
    <x v="388"/>
  </r>
  <r>
    <x v="402"/>
    <x v="183"/>
    <x v="72"/>
    <x v="252"/>
    <x v="2"/>
    <x v="1"/>
    <x v="1"/>
    <x v="108"/>
  </r>
  <r>
    <x v="416"/>
    <x v="495"/>
    <x v="225"/>
    <x v="301"/>
    <x v="2"/>
    <x v="1"/>
    <x v="1"/>
    <x v="122"/>
  </r>
  <r>
    <x v="295"/>
    <x v="279"/>
    <x v="186"/>
    <x v="222"/>
    <x v="1"/>
    <x v="0"/>
    <x v="1"/>
    <x v="1"/>
  </r>
  <r>
    <x v="255"/>
    <x v="275"/>
    <x v="408"/>
    <x v="457"/>
    <x v="0"/>
    <x v="1"/>
    <x v="0"/>
    <x v="388"/>
  </r>
  <r>
    <x v="87"/>
    <x v="140"/>
    <x v="86"/>
    <x v="229"/>
    <x v="1"/>
    <x v="1"/>
    <x v="0"/>
    <x v="220"/>
  </r>
  <r>
    <x v="207"/>
    <x v="280"/>
    <x v="424"/>
    <x v="126"/>
    <x v="2"/>
    <x v="0"/>
    <x v="0"/>
    <x v="340"/>
  </r>
  <r>
    <x v="75"/>
    <x v="232"/>
    <x v="214"/>
    <x v="89"/>
    <x v="1"/>
    <x v="1"/>
    <x v="0"/>
    <x v="208"/>
  </r>
  <r>
    <x v="186"/>
    <x v="366"/>
    <x v="316"/>
    <x v="342"/>
    <x v="2"/>
    <x v="1"/>
    <x v="0"/>
    <x v="319"/>
  </r>
  <r>
    <x v="167"/>
    <x v="226"/>
    <x v="342"/>
    <x v="270"/>
    <x v="0"/>
    <x v="0"/>
    <x v="0"/>
    <x v="300"/>
  </r>
  <r>
    <x v="88"/>
    <x v="497"/>
    <x v="88"/>
    <x v="381"/>
    <x v="2"/>
    <x v="0"/>
    <x v="0"/>
    <x v="221"/>
  </r>
  <r>
    <x v="268"/>
    <x v="315"/>
    <x v="161"/>
    <x v="85"/>
    <x v="0"/>
    <x v="1"/>
    <x v="0"/>
    <x v="401"/>
  </r>
  <r>
    <x v="303"/>
    <x v="214"/>
    <x v="117"/>
    <x v="302"/>
    <x v="0"/>
    <x v="1"/>
    <x v="1"/>
    <x v="9"/>
  </r>
  <r>
    <x v="61"/>
    <x v="258"/>
    <x v="154"/>
    <x v="333"/>
    <x v="0"/>
    <x v="1"/>
    <x v="0"/>
    <x v="194"/>
  </r>
  <r>
    <x v="156"/>
    <x v="174"/>
    <x v="368"/>
    <x v="204"/>
    <x v="1"/>
    <x v="1"/>
    <x v="0"/>
    <x v="289"/>
  </r>
  <r>
    <x v="189"/>
    <x v="424"/>
    <x v="456"/>
    <x v="231"/>
    <x v="1"/>
    <x v="1"/>
    <x v="0"/>
    <x v="322"/>
  </r>
  <r>
    <x v="37"/>
    <x v="389"/>
    <x v="184"/>
    <x v="88"/>
    <x v="2"/>
    <x v="0"/>
    <x v="0"/>
    <x v="170"/>
  </r>
  <r>
    <x v="18"/>
    <x v="490"/>
    <x v="108"/>
    <x v="127"/>
    <x v="1"/>
    <x v="0"/>
    <x v="0"/>
    <x v="151"/>
  </r>
  <r>
    <x v="393"/>
    <x v="26"/>
    <x v="452"/>
    <x v="154"/>
    <x v="0"/>
    <x v="1"/>
    <x v="1"/>
    <x v="99"/>
  </r>
  <r>
    <x v="135"/>
    <x v="134"/>
    <x v="173"/>
    <x v="60"/>
    <x v="2"/>
    <x v="0"/>
    <x v="0"/>
    <x v="268"/>
  </r>
  <r>
    <x v="301"/>
    <x v="374"/>
    <x v="331"/>
    <x v="471"/>
    <x v="1"/>
    <x v="0"/>
    <x v="1"/>
    <x v="7"/>
  </r>
  <r>
    <x v="230"/>
    <x v="478"/>
    <x v="496"/>
    <x v="318"/>
    <x v="1"/>
    <x v="0"/>
    <x v="0"/>
    <x v="363"/>
  </r>
  <r>
    <x v="351"/>
    <x v="428"/>
    <x v="35"/>
    <x v="328"/>
    <x v="0"/>
    <x v="1"/>
    <x v="1"/>
    <x v="57"/>
  </r>
  <r>
    <x v="256"/>
    <x v="122"/>
    <x v="289"/>
    <x v="112"/>
    <x v="1"/>
    <x v="0"/>
    <x v="0"/>
    <x v="389"/>
  </r>
  <r>
    <x v="374"/>
    <x v="165"/>
    <x v="53"/>
    <x v="245"/>
    <x v="2"/>
    <x v="1"/>
    <x v="1"/>
    <x v="80"/>
  </r>
  <r>
    <x v="413"/>
    <x v="204"/>
    <x v="489"/>
    <x v="56"/>
    <x v="2"/>
    <x v="1"/>
    <x v="1"/>
    <x v="119"/>
  </r>
  <r>
    <x v="286"/>
    <x v="229"/>
    <x v="54"/>
    <x v="62"/>
    <x v="0"/>
    <x v="0"/>
    <x v="0"/>
    <x v="419"/>
  </r>
  <r>
    <x v="213"/>
    <x v="403"/>
    <x v="64"/>
    <x v="169"/>
    <x v="1"/>
    <x v="1"/>
    <x v="0"/>
    <x v="346"/>
  </r>
  <r>
    <x v="190"/>
    <x v="133"/>
    <x v="28"/>
    <x v="248"/>
    <x v="1"/>
    <x v="1"/>
    <x v="0"/>
    <x v="323"/>
  </r>
  <r>
    <x v="45"/>
    <x v="67"/>
    <x v="347"/>
    <x v="425"/>
    <x v="0"/>
    <x v="0"/>
    <x v="0"/>
    <x v="178"/>
  </r>
  <r>
    <x v="239"/>
    <x v="166"/>
    <x v="40"/>
    <x v="347"/>
    <x v="2"/>
    <x v="1"/>
    <x v="0"/>
    <x v="372"/>
  </r>
  <r>
    <x v="177"/>
    <x v="31"/>
    <x v="441"/>
    <x v="148"/>
    <x v="2"/>
    <x v="0"/>
    <x v="0"/>
    <x v="310"/>
  </r>
  <r>
    <x v="280"/>
    <x v="394"/>
    <x v="188"/>
    <x v="475"/>
    <x v="0"/>
    <x v="0"/>
    <x v="0"/>
    <x v="413"/>
  </r>
  <r>
    <x v="177"/>
    <x v="206"/>
    <x v="455"/>
    <x v="197"/>
    <x v="1"/>
    <x v="0"/>
    <x v="0"/>
    <x v="310"/>
  </r>
  <r>
    <x v="316"/>
    <x v="32"/>
    <x v="209"/>
    <x v="497"/>
    <x v="2"/>
    <x v="0"/>
    <x v="1"/>
    <x v="22"/>
  </r>
  <r>
    <x v="180"/>
    <x v="90"/>
    <x v="413"/>
    <x v="413"/>
    <x v="0"/>
    <x v="0"/>
    <x v="0"/>
    <x v="313"/>
  </r>
  <r>
    <x v="219"/>
    <x v="167"/>
    <x v="306"/>
    <x v="138"/>
    <x v="0"/>
    <x v="1"/>
    <x v="0"/>
    <x v="352"/>
  </r>
  <r>
    <x v="10"/>
    <x v="241"/>
    <x v="349"/>
    <x v="104"/>
    <x v="0"/>
    <x v="0"/>
    <x v="0"/>
    <x v="143"/>
  </r>
  <r>
    <x v="278"/>
    <x v="332"/>
    <x v="125"/>
    <x v="180"/>
    <x v="1"/>
    <x v="0"/>
    <x v="0"/>
    <x v="411"/>
  </r>
  <r>
    <x v="77"/>
    <x v="10"/>
    <x v="226"/>
    <x v="228"/>
    <x v="1"/>
    <x v="0"/>
    <x v="0"/>
    <x v="210"/>
  </r>
  <r>
    <x v="4"/>
    <x v="299"/>
    <x v="213"/>
    <x v="117"/>
    <x v="2"/>
    <x v="0"/>
    <x v="0"/>
    <x v="137"/>
  </r>
  <r>
    <x v="287"/>
    <x v="213"/>
    <x v="224"/>
    <x v="273"/>
    <x v="2"/>
    <x v="1"/>
    <x v="0"/>
    <x v="420"/>
  </r>
  <r>
    <x v="222"/>
    <x v="112"/>
    <x v="305"/>
    <x v="377"/>
    <x v="0"/>
    <x v="1"/>
    <x v="0"/>
    <x v="355"/>
  </r>
  <r>
    <x v="354"/>
    <x v="185"/>
    <x v="494"/>
    <x v="496"/>
    <x v="2"/>
    <x v="0"/>
    <x v="1"/>
    <x v="60"/>
  </r>
  <r>
    <x v="297"/>
    <x v="344"/>
    <x v="81"/>
    <x v="124"/>
    <x v="1"/>
    <x v="0"/>
    <x v="1"/>
    <x v="3"/>
  </r>
  <r>
    <x v="269"/>
    <x v="358"/>
    <x v="227"/>
    <x v="408"/>
    <x v="0"/>
    <x v="0"/>
    <x v="0"/>
    <x v="402"/>
  </r>
  <r>
    <x v="245"/>
    <x v="310"/>
    <x v="309"/>
    <x v="218"/>
    <x v="0"/>
    <x v="1"/>
    <x v="0"/>
    <x v="378"/>
  </r>
  <r>
    <x v="360"/>
    <x v="103"/>
    <x v="3"/>
    <x v="306"/>
    <x v="0"/>
    <x v="1"/>
    <x v="1"/>
    <x v="66"/>
  </r>
  <r>
    <x v="368"/>
    <x v="58"/>
    <x v="313"/>
    <x v="486"/>
    <x v="0"/>
    <x v="0"/>
    <x v="1"/>
    <x v="74"/>
  </r>
  <r>
    <x v="343"/>
    <x v="487"/>
    <x v="17"/>
    <x v="262"/>
    <x v="1"/>
    <x v="1"/>
    <x v="1"/>
    <x v="49"/>
  </r>
  <r>
    <x v="263"/>
    <x v="317"/>
    <x v="260"/>
    <x v="75"/>
    <x v="0"/>
    <x v="1"/>
    <x v="0"/>
    <x v="396"/>
  </r>
  <r>
    <x v="417"/>
    <x v="121"/>
    <x v="169"/>
    <x v="18"/>
    <x v="1"/>
    <x v="0"/>
    <x v="1"/>
    <x v="123"/>
  </r>
  <r>
    <x v="1"/>
    <x v="314"/>
    <x v="51"/>
    <x v="107"/>
    <x v="2"/>
    <x v="0"/>
    <x v="0"/>
    <x v="134"/>
  </r>
  <r>
    <x v="397"/>
    <x v="348"/>
    <x v="167"/>
    <x v="357"/>
    <x v="1"/>
    <x v="0"/>
    <x v="1"/>
    <x v="103"/>
  </r>
  <r>
    <x v="65"/>
    <x v="427"/>
    <x v="377"/>
    <x v="456"/>
    <x v="1"/>
    <x v="0"/>
    <x v="0"/>
    <x v="198"/>
  </r>
  <r>
    <x v="184"/>
    <x v="106"/>
    <x v="103"/>
    <x v="238"/>
    <x v="0"/>
    <x v="1"/>
    <x v="0"/>
    <x v="317"/>
  </r>
  <r>
    <x v="149"/>
    <x v="7"/>
    <x v="156"/>
    <x v="447"/>
    <x v="1"/>
    <x v="1"/>
    <x v="0"/>
    <x v="282"/>
  </r>
  <r>
    <x v="178"/>
    <x v="444"/>
    <x v="472"/>
    <x v="449"/>
    <x v="2"/>
    <x v="0"/>
    <x v="0"/>
    <x v="311"/>
  </r>
  <r>
    <x v="284"/>
    <x v="111"/>
    <x v="307"/>
    <x v="72"/>
    <x v="0"/>
    <x v="1"/>
    <x v="0"/>
    <x v="417"/>
  </r>
  <r>
    <x v="326"/>
    <x v="231"/>
    <x v="359"/>
    <x v="332"/>
    <x v="0"/>
    <x v="0"/>
    <x v="1"/>
    <x v="32"/>
  </r>
  <r>
    <x v="227"/>
    <x v="56"/>
    <x v="66"/>
    <x v="20"/>
    <x v="1"/>
    <x v="0"/>
    <x v="0"/>
    <x v="360"/>
  </r>
  <r>
    <x v="169"/>
    <x v="471"/>
    <x v="460"/>
    <x v="400"/>
    <x v="0"/>
    <x v="1"/>
    <x v="0"/>
    <x v="302"/>
  </r>
  <r>
    <x v="319"/>
    <x v="465"/>
    <x v="393"/>
    <x v="137"/>
    <x v="0"/>
    <x v="1"/>
    <x v="1"/>
    <x v="25"/>
  </r>
  <r>
    <x v="103"/>
    <x v="373"/>
    <x v="478"/>
    <x v="298"/>
    <x v="0"/>
    <x v="0"/>
    <x v="0"/>
    <x v="236"/>
  </r>
  <r>
    <x v="237"/>
    <x v="460"/>
    <x v="100"/>
    <x v="179"/>
    <x v="0"/>
    <x v="1"/>
    <x v="0"/>
    <x v="370"/>
  </r>
  <r>
    <x v="375"/>
    <x v="145"/>
    <x v="469"/>
    <x v="331"/>
    <x v="1"/>
    <x v="1"/>
    <x v="1"/>
    <x v="81"/>
  </r>
  <r>
    <x v="228"/>
    <x v="404"/>
    <x v="459"/>
    <x v="274"/>
    <x v="1"/>
    <x v="1"/>
    <x v="0"/>
    <x v="361"/>
  </r>
  <r>
    <x v="421"/>
    <x v="55"/>
    <x v="153"/>
    <x v="103"/>
    <x v="0"/>
    <x v="0"/>
    <x v="1"/>
    <x v="127"/>
  </r>
  <r>
    <x v="326"/>
    <x v="38"/>
    <x v="471"/>
    <x v="297"/>
    <x v="0"/>
    <x v="1"/>
    <x v="1"/>
    <x v="32"/>
  </r>
  <r>
    <x v="185"/>
    <x v="110"/>
    <x v="314"/>
    <x v="239"/>
    <x v="1"/>
    <x v="0"/>
    <x v="0"/>
    <x v="318"/>
  </r>
  <r>
    <x v="38"/>
    <x v="383"/>
    <x v="179"/>
    <x v="349"/>
    <x v="2"/>
    <x v="1"/>
    <x v="0"/>
    <x v="171"/>
  </r>
  <r>
    <x v="350"/>
    <x v="123"/>
    <x v="232"/>
    <x v="393"/>
    <x v="0"/>
    <x v="0"/>
    <x v="1"/>
    <x v="56"/>
  </r>
  <r>
    <x v="126"/>
    <x v="475"/>
    <x v="244"/>
    <x v="431"/>
    <x v="0"/>
    <x v="1"/>
    <x v="0"/>
    <x v="259"/>
  </r>
  <r>
    <x v="168"/>
    <x v="395"/>
    <x v="155"/>
    <x v="418"/>
    <x v="2"/>
    <x v="0"/>
    <x v="0"/>
    <x v="301"/>
  </r>
  <r>
    <x v="362"/>
    <x v="466"/>
    <x v="140"/>
    <x v="366"/>
    <x v="1"/>
    <x v="0"/>
    <x v="1"/>
    <x v="68"/>
  </r>
  <r>
    <x v="170"/>
    <x v="322"/>
    <x v="402"/>
    <x v="45"/>
    <x v="2"/>
    <x v="0"/>
    <x v="0"/>
    <x v="303"/>
  </r>
  <r>
    <x v="367"/>
    <x v="325"/>
    <x v="304"/>
    <x v="480"/>
    <x v="2"/>
    <x v="1"/>
    <x v="1"/>
    <x v="73"/>
  </r>
  <r>
    <x v="116"/>
    <x v="114"/>
    <x v="365"/>
    <x v="30"/>
    <x v="1"/>
    <x v="1"/>
    <x v="0"/>
    <x v="249"/>
  </r>
  <r>
    <x v="165"/>
    <x v="333"/>
    <x v="419"/>
    <x v="265"/>
    <x v="0"/>
    <x v="1"/>
    <x v="0"/>
    <x v="298"/>
  </r>
  <r>
    <x v="415"/>
    <x v="303"/>
    <x v="284"/>
    <x v="352"/>
    <x v="2"/>
    <x v="0"/>
    <x v="1"/>
    <x v="121"/>
  </r>
  <r>
    <x v="253"/>
    <x v="242"/>
    <x v="175"/>
    <x v="362"/>
    <x v="0"/>
    <x v="1"/>
    <x v="0"/>
    <x v="386"/>
  </r>
  <r>
    <x v="84"/>
    <x v="363"/>
    <x v="261"/>
    <x v="358"/>
    <x v="1"/>
    <x v="1"/>
    <x v="0"/>
    <x v="217"/>
  </r>
  <r>
    <x v="332"/>
    <x v="168"/>
    <x v="203"/>
    <x v="389"/>
    <x v="1"/>
    <x v="1"/>
    <x v="1"/>
    <x v="38"/>
  </r>
  <r>
    <x v="53"/>
    <x v="177"/>
    <x v="492"/>
    <x v="194"/>
    <x v="1"/>
    <x v="0"/>
    <x v="0"/>
    <x v="186"/>
  </r>
  <r>
    <x v="274"/>
    <x v="390"/>
    <x v="151"/>
    <x v="146"/>
    <x v="1"/>
    <x v="1"/>
    <x v="0"/>
    <x v="407"/>
  </r>
  <r>
    <x v="327"/>
    <x v="350"/>
    <x v="230"/>
    <x v="157"/>
    <x v="0"/>
    <x v="1"/>
    <x v="1"/>
    <x v="33"/>
  </r>
  <r>
    <x v="353"/>
    <x v="481"/>
    <x v="252"/>
    <x v="121"/>
    <x v="0"/>
    <x v="1"/>
    <x v="1"/>
    <x v="59"/>
  </r>
  <r>
    <x v="352"/>
    <x v="409"/>
    <x v="376"/>
    <x v="175"/>
    <x v="0"/>
    <x v="1"/>
    <x v="1"/>
    <x v="58"/>
  </r>
  <r>
    <x v="337"/>
    <x v="343"/>
    <x v="427"/>
    <x v="463"/>
    <x v="0"/>
    <x v="1"/>
    <x v="1"/>
    <x v="43"/>
  </r>
  <r>
    <x v="55"/>
    <x v="269"/>
    <x v="73"/>
    <x v="105"/>
    <x v="2"/>
    <x v="0"/>
    <x v="0"/>
    <x v="188"/>
  </r>
  <r>
    <x v="294"/>
    <x v="397"/>
    <x v="240"/>
    <x v="461"/>
    <x v="1"/>
    <x v="0"/>
    <x v="1"/>
    <x v="0"/>
  </r>
  <r>
    <x v="224"/>
    <x v="57"/>
    <x v="98"/>
    <x v="227"/>
    <x v="0"/>
    <x v="1"/>
    <x v="0"/>
    <x v="357"/>
  </r>
  <r>
    <x v="106"/>
    <x v="388"/>
    <x v="292"/>
    <x v="21"/>
    <x v="0"/>
    <x v="0"/>
    <x v="0"/>
    <x v="239"/>
  </r>
  <r>
    <x v="71"/>
    <x v="284"/>
    <x v="370"/>
    <x v="161"/>
    <x v="0"/>
    <x v="0"/>
    <x v="0"/>
    <x v="204"/>
  </r>
  <r>
    <x v="47"/>
    <x v="326"/>
    <x v="106"/>
    <x v="415"/>
    <x v="1"/>
    <x v="0"/>
    <x v="0"/>
    <x v="180"/>
  </r>
  <r>
    <x v="338"/>
    <x v="367"/>
    <x v="50"/>
    <x v="213"/>
    <x v="0"/>
    <x v="1"/>
    <x v="1"/>
    <x v="44"/>
  </r>
  <r>
    <x v="370"/>
    <x v="54"/>
    <x v="355"/>
    <x v="374"/>
    <x v="1"/>
    <x v="0"/>
    <x v="1"/>
    <x v="76"/>
  </r>
  <r>
    <x v="411"/>
    <x v="263"/>
    <x v="23"/>
    <x v="64"/>
    <x v="2"/>
    <x v="0"/>
    <x v="1"/>
    <x v="117"/>
  </r>
  <r>
    <x v="163"/>
    <x v="219"/>
    <x v="353"/>
    <x v="219"/>
    <x v="2"/>
    <x v="1"/>
    <x v="0"/>
    <x v="296"/>
  </r>
  <r>
    <x v="236"/>
    <x v="400"/>
    <x v="335"/>
    <x v="290"/>
    <x v="0"/>
    <x v="0"/>
    <x v="0"/>
    <x v="369"/>
  </r>
  <r>
    <x v="404"/>
    <x v="11"/>
    <x v="354"/>
    <x v="399"/>
    <x v="1"/>
    <x v="1"/>
    <x v="1"/>
    <x v="110"/>
  </r>
  <r>
    <x v="295"/>
    <x v="62"/>
    <x v="268"/>
    <x v="177"/>
    <x v="1"/>
    <x v="1"/>
    <x v="1"/>
    <x v="1"/>
  </r>
  <r>
    <x v="64"/>
    <x v="172"/>
    <x v="121"/>
    <x v="451"/>
    <x v="1"/>
    <x v="1"/>
    <x v="0"/>
    <x v="197"/>
  </r>
  <r>
    <x v="290"/>
    <x v="365"/>
    <x v="4"/>
    <x v="155"/>
    <x v="1"/>
    <x v="0"/>
    <x v="0"/>
    <x v="423"/>
  </r>
  <r>
    <x v="29"/>
    <x v="370"/>
    <x v="450"/>
    <x v="472"/>
    <x v="1"/>
    <x v="1"/>
    <x v="0"/>
    <x v="162"/>
  </r>
  <r>
    <x v="244"/>
    <x v="352"/>
    <x v="297"/>
    <x v="355"/>
    <x v="2"/>
    <x v="0"/>
    <x v="0"/>
    <x v="377"/>
  </r>
  <r>
    <x v="412"/>
    <x v="351"/>
    <x v="162"/>
    <x v="172"/>
    <x v="0"/>
    <x v="0"/>
    <x v="1"/>
    <x v="118"/>
  </r>
  <r>
    <x v="209"/>
    <x v="451"/>
    <x v="333"/>
    <x v="189"/>
    <x v="1"/>
    <x v="1"/>
    <x v="0"/>
    <x v="342"/>
  </r>
  <r>
    <x v="150"/>
    <x v="225"/>
    <x v="392"/>
    <x v="489"/>
    <x v="1"/>
    <x v="1"/>
    <x v="0"/>
    <x v="283"/>
  </r>
  <r>
    <x v="125"/>
    <x v="411"/>
    <x v="137"/>
    <x v="130"/>
    <x v="0"/>
    <x v="0"/>
    <x v="0"/>
    <x v="258"/>
  </r>
  <r>
    <x v="399"/>
    <x v="496"/>
    <x v="270"/>
    <x v="340"/>
    <x v="0"/>
    <x v="1"/>
    <x v="1"/>
    <x v="105"/>
  </r>
  <r>
    <x v="296"/>
    <x v="45"/>
    <x v="476"/>
    <x v="220"/>
    <x v="1"/>
    <x v="1"/>
    <x v="1"/>
    <x v="2"/>
  </r>
  <r>
    <x v="287"/>
    <x v="137"/>
    <x v="84"/>
    <x v="16"/>
    <x v="1"/>
    <x v="0"/>
    <x v="0"/>
    <x v="420"/>
  </r>
  <r>
    <x v="249"/>
    <x v="211"/>
    <x v="48"/>
    <x v="98"/>
    <x v="0"/>
    <x v="0"/>
    <x v="0"/>
    <x v="382"/>
  </r>
  <r>
    <x v="169"/>
    <x v="441"/>
    <x v="220"/>
    <x v="435"/>
    <x v="0"/>
    <x v="0"/>
    <x v="0"/>
    <x v="302"/>
  </r>
  <r>
    <x v="86"/>
    <x v="252"/>
    <x v="29"/>
    <x v="373"/>
    <x v="2"/>
    <x v="1"/>
    <x v="0"/>
    <x v="219"/>
  </r>
  <r>
    <x v="218"/>
    <x v="271"/>
    <x v="299"/>
    <x v="43"/>
    <x v="1"/>
    <x v="1"/>
    <x v="0"/>
    <x v="351"/>
  </r>
  <r>
    <x v="119"/>
    <x v="246"/>
    <x v="180"/>
    <x v="354"/>
    <x v="2"/>
    <x v="0"/>
    <x v="0"/>
    <x v="252"/>
  </r>
  <r>
    <x v="362"/>
    <x v="386"/>
    <x v="119"/>
    <x v="69"/>
    <x v="1"/>
    <x v="1"/>
    <x v="1"/>
    <x v="68"/>
  </r>
  <r>
    <x v="220"/>
    <x v="13"/>
    <x v="30"/>
    <x v="140"/>
    <x v="1"/>
    <x v="1"/>
    <x v="0"/>
    <x v="353"/>
  </r>
  <r>
    <x v="203"/>
    <x v="25"/>
    <x v="454"/>
    <x v="159"/>
    <x v="1"/>
    <x v="0"/>
    <x v="0"/>
    <x v="336"/>
  </r>
  <r>
    <x v="14"/>
    <x v="234"/>
    <x v="234"/>
    <x v="320"/>
    <x v="2"/>
    <x v="1"/>
    <x v="0"/>
    <x v="147"/>
  </r>
  <r>
    <x v="368"/>
    <x v="184"/>
    <x v="192"/>
    <x v="206"/>
    <x v="1"/>
    <x v="0"/>
    <x v="1"/>
    <x v="74"/>
  </r>
  <r>
    <x v="95"/>
    <x v="339"/>
    <x v="291"/>
    <x v="261"/>
    <x v="1"/>
    <x v="1"/>
    <x v="0"/>
    <x v="228"/>
  </r>
  <r>
    <x v="196"/>
    <x v="360"/>
    <x v="375"/>
    <x v="13"/>
    <x v="0"/>
    <x v="0"/>
    <x v="0"/>
    <x v="329"/>
  </r>
  <r>
    <x v="32"/>
    <x v="443"/>
    <x v="78"/>
    <x v="0"/>
    <x v="0"/>
    <x v="1"/>
    <x v="0"/>
    <x v="165"/>
  </r>
  <r>
    <x v="376"/>
    <x v="178"/>
    <x v="61"/>
    <x v="51"/>
    <x v="2"/>
    <x v="1"/>
    <x v="1"/>
    <x v="82"/>
  </r>
  <r>
    <x v="395"/>
    <x v="357"/>
    <x v="39"/>
    <x v="250"/>
    <x v="1"/>
    <x v="0"/>
    <x v="1"/>
    <x v="101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showDrill="1" useAutoFormatting="0" itemPrintTitles="1" indent="0" outline="0" outlineData="0" compact="0" compactData="0">
  <location ref="A3:D7" firstHeaderRow="1" firstDataRow="2" firstDataCol="1" rowPageCount="1" colPageCount="1"/>
  <pivotFields count="8">
    <pivotField compact="0" showAll="0"/>
    <pivotField dataField="1" compact="0" showAll="0" outline="0"/>
    <pivotField compact="0" showAll="0"/>
    <pivotField compact="0" showAll="0"/>
    <pivotField axis="axisPage" compact="0" showAll="0" defaultSubtotal="0" outline="0">
      <items count="3">
        <item x="0"/>
        <item x="1"/>
        <item x="2"/>
      </items>
    </pivotField>
    <pivotField axis="axisCol" compact="0" showAll="0" defaultSubtotal="0" outline="0">
      <items count="2">
        <item x="0"/>
        <item x="1"/>
      </items>
    </pivotField>
    <pivotField axis="axisRow" compact="0" showAll="0" defaultSubtotal="0" outline="0">
      <items count="2">
        <item x="0"/>
        <item x="1"/>
      </items>
    </pivotField>
    <pivotField compact="0" showAll="0"/>
  </pivotFields>
  <rowFields count="1">
    <field x="6"/>
  </rowFields>
  <rowItems count="3">
    <i>
      <x v="0"/>
    </i>
    <i>
      <x v="1"/>
    </i>
    <i t="grand">
      <x v="2"/>
    </i>
  </rowItems>
  <colFields count="1">
    <field x="5"/>
  </colFields>
  <colItems count="3">
    <i>
      <x v="0"/>
    </i>
    <i>
      <x v="1"/>
    </i>
    <i t="grand">
      <x v="2"/>
    </i>
  </colItems>
  <pageFields count="1">
    <pageField fld="4" hier="-1"/>
  </pageFields>
  <dataFields count="1">
    <dataField name="Count - Source IP" fld="1" subtotal="count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ivotTable" Target="../pivotTables/pivot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01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1" topLeftCell="A2" activePane="bottomLeft" state="frozen"/>
      <selection pane="topLeft" activeCell="A1" activeCellId="0" sqref="A1"/>
      <selection pane="bottomLeft" activeCell="I1" activeCellId="0" sqref="I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8.31"/>
    <col collapsed="false" customWidth="true" hidden="false" outlineLevel="0" max="3" min="2" style="1" width="15.03"/>
    <col collapsed="false" customWidth="true" hidden="false" outlineLevel="0" max="4" min="4" style="1" width="6.38"/>
    <col collapsed="false" customWidth="true" hidden="false" outlineLevel="0" max="5" min="5" style="1" width="8.02"/>
    <col collapsed="false" customWidth="true" hidden="false" outlineLevel="0" max="6" min="6" style="1" width="7.75"/>
    <col collapsed="false" customWidth="true" hidden="false" outlineLevel="0" max="7" min="7" style="1" width="10.66"/>
    <col collapsed="false" customWidth="true" hidden="false" outlineLevel="0" max="8" min="8" style="1" width="6.03"/>
    <col collapsed="false" customWidth="true" hidden="false" outlineLevel="0" max="9" min="9" style="0" width="12.73"/>
  </cols>
  <sheetData>
    <row r="1" s="2" customFormat="tru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2.8" hidden="false" customHeight="false" outlineLevel="0" collapsed="false">
      <c r="A2" s="3" t="n">
        <v>45499.6305555556</v>
      </c>
      <c r="B2" s="1" t="s">
        <v>9</v>
      </c>
      <c r="C2" s="1" t="s">
        <v>10</v>
      </c>
      <c r="D2" s="4" t="s">
        <v>11</v>
      </c>
      <c r="E2" s="1" t="s">
        <v>12</v>
      </c>
      <c r="F2" s="1" t="s">
        <v>13</v>
      </c>
      <c r="G2" s="1" t="str">
        <f aca="false">TEXT(A2,"YYYY-MM-DD")</f>
        <v>2024-07-26</v>
      </c>
      <c r="H2" s="1" t="str">
        <f aca="false">TEXT(A2,"HH:MM")</f>
        <v>15:08</v>
      </c>
      <c r="I2" s="0" t="str">
        <f aca="false">IFERROR(VLOOKUP(C2,threat_intelligence!A:B,2,0),"CLEAN")</f>
        <v>CLEAN</v>
      </c>
    </row>
    <row r="3" customFormat="false" ht="12.8" hidden="false" customHeight="false" outlineLevel="0" collapsed="false">
      <c r="A3" s="3" t="n">
        <v>45500.2756944444</v>
      </c>
      <c r="B3" s="1" t="s">
        <v>14</v>
      </c>
      <c r="C3" s="1" t="s">
        <v>15</v>
      </c>
      <c r="D3" s="4" t="s">
        <v>16</v>
      </c>
      <c r="E3" s="1" t="s">
        <v>17</v>
      </c>
      <c r="F3" s="1" t="s">
        <v>13</v>
      </c>
      <c r="G3" s="1" t="str">
        <f aca="false">TEXT(A3,"YYYY-MM-DD")</f>
        <v>2024-07-27</v>
      </c>
      <c r="H3" s="1" t="str">
        <f aca="false">TEXT(A3,"HH:MM")</f>
        <v>06:37</v>
      </c>
      <c r="I3" s="0" t="str">
        <f aca="false">IFERROR(VLOOKUP(C3,threat_intelligence!A:B,2,0),"CLEAN")</f>
        <v>CLEAN</v>
      </c>
    </row>
    <row r="4" customFormat="false" ht="12.8" hidden="false" customHeight="false" outlineLevel="0" collapsed="false">
      <c r="A4" s="3" t="n">
        <v>45499.76875</v>
      </c>
      <c r="B4" s="1" t="s">
        <v>18</v>
      </c>
      <c r="C4" s="1" t="s">
        <v>19</v>
      </c>
      <c r="D4" s="4" t="s">
        <v>20</v>
      </c>
      <c r="E4" s="1" t="s">
        <v>21</v>
      </c>
      <c r="F4" s="1" t="s">
        <v>13</v>
      </c>
      <c r="G4" s="1" t="str">
        <f aca="false">TEXT(A4,"YYYY-MM-DD")</f>
        <v>2024-07-26</v>
      </c>
      <c r="H4" s="1" t="str">
        <f aca="false">TEXT(A4,"HH:MM")</f>
        <v>18:27</v>
      </c>
      <c r="I4" s="0" t="str">
        <f aca="false">IFERROR(VLOOKUP(C4,threat_intelligence!A:B,2,0),"CLEAN")</f>
        <v>CLEAN</v>
      </c>
    </row>
    <row r="5" customFormat="false" ht="12.8" hidden="false" customHeight="false" outlineLevel="0" collapsed="false">
      <c r="A5" s="3" t="n">
        <v>45500.1555555556</v>
      </c>
      <c r="B5" s="1" t="s">
        <v>22</v>
      </c>
      <c r="C5" s="1" t="s">
        <v>23</v>
      </c>
      <c r="D5" s="4" t="s">
        <v>24</v>
      </c>
      <c r="E5" s="1" t="s">
        <v>17</v>
      </c>
      <c r="F5" s="1" t="s">
        <v>25</v>
      </c>
      <c r="G5" s="1" t="str">
        <f aca="false">TEXT(A5,"YYYY-MM-DD")</f>
        <v>2024-07-27</v>
      </c>
      <c r="H5" s="1" t="str">
        <f aca="false">TEXT(A5,"HH:MM")</f>
        <v>03:44</v>
      </c>
      <c r="I5" s="0" t="str">
        <f aca="false">IFERROR(VLOOKUP(C5,threat_intelligence!A:B,2,0),"CLEAN")</f>
        <v>CLEAN</v>
      </c>
    </row>
    <row r="6" customFormat="false" ht="12.8" hidden="false" customHeight="false" outlineLevel="0" collapsed="false">
      <c r="A6" s="3" t="n">
        <v>45500.0451388889</v>
      </c>
      <c r="B6" s="1" t="s">
        <v>26</v>
      </c>
      <c r="C6" s="1" t="s">
        <v>27</v>
      </c>
      <c r="D6" s="4" t="s">
        <v>28</v>
      </c>
      <c r="E6" s="1" t="s">
        <v>17</v>
      </c>
      <c r="F6" s="1" t="s">
        <v>13</v>
      </c>
      <c r="G6" s="1" t="str">
        <f aca="false">TEXT(A6,"YYYY-MM-DD")</f>
        <v>2024-07-27</v>
      </c>
      <c r="H6" s="1" t="str">
        <f aca="false">TEXT(A6,"HH:MM")</f>
        <v>01:05</v>
      </c>
      <c r="I6" s="0" t="str">
        <f aca="false">IFERROR(VLOOKUP(C6,threat_intelligence!A:B,2,0),"CLEAN")</f>
        <v>CLEAN</v>
      </c>
    </row>
    <row r="7" customFormat="false" ht="12.8" hidden="false" customHeight="false" outlineLevel="0" collapsed="false">
      <c r="A7" s="3" t="n">
        <v>45500.1743055556</v>
      </c>
      <c r="B7" s="1" t="s">
        <v>29</v>
      </c>
      <c r="C7" s="1" t="s">
        <v>30</v>
      </c>
      <c r="D7" s="4" t="s">
        <v>31</v>
      </c>
      <c r="E7" s="1" t="s">
        <v>12</v>
      </c>
      <c r="F7" s="1" t="s">
        <v>13</v>
      </c>
      <c r="G7" s="1" t="str">
        <f aca="false">TEXT(A7,"YYYY-MM-DD")</f>
        <v>2024-07-27</v>
      </c>
      <c r="H7" s="1" t="str">
        <f aca="false">TEXT(A7,"HH:MM")</f>
        <v>04:11</v>
      </c>
      <c r="I7" s="0" t="str">
        <f aca="false">IFERROR(VLOOKUP(C7,threat_intelligence!A:B,2,0),"CLEAN")</f>
        <v>CLEAN</v>
      </c>
    </row>
    <row r="8" customFormat="false" ht="12.8" hidden="false" customHeight="false" outlineLevel="0" collapsed="false">
      <c r="A8" s="3" t="n">
        <v>45499.6833333333</v>
      </c>
      <c r="B8" s="1" t="s">
        <v>32</v>
      </c>
      <c r="C8" s="1" t="s">
        <v>33</v>
      </c>
      <c r="D8" s="4" t="s">
        <v>34</v>
      </c>
      <c r="E8" s="1" t="s">
        <v>12</v>
      </c>
      <c r="F8" s="1" t="s">
        <v>25</v>
      </c>
      <c r="G8" s="1" t="str">
        <f aca="false">TEXT(A8,"YYYY-MM-DD")</f>
        <v>2024-07-26</v>
      </c>
      <c r="H8" s="1" t="str">
        <f aca="false">TEXT(A8,"HH:MM")</f>
        <v>16:24</v>
      </c>
      <c r="I8" s="0" t="str">
        <f aca="false">IFERROR(VLOOKUP(C8,threat_intelligence!A:B,2,0),"CLEAN")</f>
        <v>CLEAN</v>
      </c>
    </row>
    <row r="9" customFormat="false" ht="12.8" hidden="false" customHeight="false" outlineLevel="0" collapsed="false">
      <c r="A9" s="3" t="n">
        <v>45499.58125</v>
      </c>
      <c r="B9" s="1" t="s">
        <v>35</v>
      </c>
      <c r="C9" s="1" t="s">
        <v>36</v>
      </c>
      <c r="D9" s="4" t="s">
        <v>37</v>
      </c>
      <c r="E9" s="1" t="s">
        <v>17</v>
      </c>
      <c r="F9" s="1" t="s">
        <v>25</v>
      </c>
      <c r="G9" s="1" t="str">
        <f aca="false">TEXT(A9,"YYYY-MM-DD")</f>
        <v>2024-07-26</v>
      </c>
      <c r="H9" s="1" t="str">
        <f aca="false">TEXT(A9,"HH:MM")</f>
        <v>13:57</v>
      </c>
      <c r="I9" s="0" t="str">
        <f aca="false">IFERROR(VLOOKUP(C9,threat_intelligence!A:B,2,0),"CLEAN")</f>
        <v>CLEAN</v>
      </c>
    </row>
    <row r="10" customFormat="false" ht="12.8" hidden="false" customHeight="false" outlineLevel="0" collapsed="false">
      <c r="A10" s="3" t="n">
        <v>45500.05625</v>
      </c>
      <c r="B10" s="1" t="s">
        <v>38</v>
      </c>
      <c r="C10" s="1" t="s">
        <v>39</v>
      </c>
      <c r="D10" s="4" t="s">
        <v>40</v>
      </c>
      <c r="E10" s="1" t="s">
        <v>21</v>
      </c>
      <c r="F10" s="1" t="s">
        <v>25</v>
      </c>
      <c r="G10" s="1" t="str">
        <f aca="false">TEXT(A10,"YYYY-MM-DD")</f>
        <v>2024-07-27</v>
      </c>
      <c r="H10" s="1" t="str">
        <f aca="false">TEXT(A10,"HH:MM")</f>
        <v>01:21</v>
      </c>
      <c r="I10" s="0" t="str">
        <f aca="false">IFERROR(VLOOKUP(C10,threat_intelligence!A:B,2,0),"CLEAN")</f>
        <v>CLEAN</v>
      </c>
    </row>
    <row r="11" customFormat="false" ht="12.8" hidden="false" customHeight="false" outlineLevel="0" collapsed="false">
      <c r="A11" s="3" t="n">
        <v>45500.2666666667</v>
      </c>
      <c r="B11" s="1" t="s">
        <v>41</v>
      </c>
      <c r="C11" s="1" t="s">
        <v>42</v>
      </c>
      <c r="D11" s="4" t="s">
        <v>43</v>
      </c>
      <c r="E11" s="1" t="s">
        <v>21</v>
      </c>
      <c r="F11" s="1" t="s">
        <v>13</v>
      </c>
      <c r="G11" s="1" t="str">
        <f aca="false">TEXT(A11,"YYYY-MM-DD")</f>
        <v>2024-07-27</v>
      </c>
      <c r="H11" s="1" t="str">
        <f aca="false">TEXT(A11,"HH:MM")</f>
        <v>06:24</v>
      </c>
      <c r="I11" s="0" t="str">
        <f aca="false">IFERROR(VLOOKUP(C11,threat_intelligence!A:B,2,0),"CLEAN")</f>
        <v>CLEAN</v>
      </c>
    </row>
    <row r="12" customFormat="false" ht="12.8" hidden="false" customHeight="false" outlineLevel="0" collapsed="false">
      <c r="A12" s="3" t="n">
        <v>45500.0270833333</v>
      </c>
      <c r="B12" s="1" t="s">
        <v>44</v>
      </c>
      <c r="C12" s="1" t="s">
        <v>45</v>
      </c>
      <c r="D12" s="4" t="s">
        <v>46</v>
      </c>
      <c r="E12" s="1" t="s">
        <v>21</v>
      </c>
      <c r="F12" s="1" t="s">
        <v>13</v>
      </c>
      <c r="G12" s="1" t="str">
        <f aca="false">TEXT(A12,"YYYY-MM-DD")</f>
        <v>2024-07-27</v>
      </c>
      <c r="H12" s="1" t="str">
        <f aca="false">TEXT(A12,"HH:MM")</f>
        <v>00:39</v>
      </c>
      <c r="I12" s="0" t="str">
        <f aca="false">IFERROR(VLOOKUP(C12,threat_intelligence!A:B,2,0),"CLEAN")</f>
        <v>CLEAN</v>
      </c>
    </row>
    <row r="13" customFormat="false" ht="12.8" hidden="false" customHeight="false" outlineLevel="0" collapsed="false">
      <c r="A13" s="3" t="n">
        <v>45499.7416666667</v>
      </c>
      <c r="B13" s="1" t="s">
        <v>47</v>
      </c>
      <c r="C13" s="1" t="s">
        <v>48</v>
      </c>
      <c r="D13" s="4" t="s">
        <v>49</v>
      </c>
      <c r="E13" s="1" t="s">
        <v>17</v>
      </c>
      <c r="F13" s="1" t="s">
        <v>25</v>
      </c>
      <c r="G13" s="1" t="str">
        <f aca="false">TEXT(A13,"YYYY-MM-DD")</f>
        <v>2024-07-26</v>
      </c>
      <c r="H13" s="1" t="str">
        <f aca="false">TEXT(A13,"HH:MM")</f>
        <v>17:48</v>
      </c>
      <c r="I13" s="0" t="str">
        <f aca="false">IFERROR(VLOOKUP(C13,threat_intelligence!A:B,2,0),"CLEAN")</f>
        <v>CLEAN</v>
      </c>
    </row>
    <row r="14" customFormat="false" ht="12.8" hidden="false" customHeight="false" outlineLevel="0" collapsed="false">
      <c r="A14" s="3" t="n">
        <v>45499.4763888889</v>
      </c>
      <c r="B14" s="1" t="s">
        <v>50</v>
      </c>
      <c r="C14" s="1" t="s">
        <v>51</v>
      </c>
      <c r="D14" s="4" t="s">
        <v>52</v>
      </c>
      <c r="E14" s="1" t="s">
        <v>17</v>
      </c>
      <c r="F14" s="1" t="s">
        <v>13</v>
      </c>
      <c r="G14" s="1" t="str">
        <f aca="false">TEXT(A14,"YYYY-MM-DD")</f>
        <v>2024-07-26</v>
      </c>
      <c r="H14" s="1" t="str">
        <f aca="false">TEXT(A14,"HH:MM")</f>
        <v>11:26</v>
      </c>
      <c r="I14" s="0" t="str">
        <f aca="false">IFERROR(VLOOKUP(C14,threat_intelligence!A:B,2,0),"CLEAN")</f>
        <v>CLEAN</v>
      </c>
    </row>
    <row r="15" customFormat="false" ht="12.8" hidden="false" customHeight="false" outlineLevel="0" collapsed="false">
      <c r="A15" s="3" t="n">
        <v>45500.1680555556</v>
      </c>
      <c r="B15" s="1" t="s">
        <v>53</v>
      </c>
      <c r="C15" s="1" t="s">
        <v>54</v>
      </c>
      <c r="D15" s="4" t="s">
        <v>55</v>
      </c>
      <c r="E15" s="1" t="s">
        <v>17</v>
      </c>
      <c r="F15" s="1" t="s">
        <v>13</v>
      </c>
      <c r="G15" s="1" t="str">
        <f aca="false">TEXT(A15,"YYYY-MM-DD")</f>
        <v>2024-07-27</v>
      </c>
      <c r="H15" s="1" t="str">
        <f aca="false">TEXT(A15,"HH:MM")</f>
        <v>04:02</v>
      </c>
      <c r="I15" s="0" t="str">
        <f aca="false">IFERROR(VLOOKUP(C15,threat_intelligence!A:B,2,0),"CLEAN")</f>
        <v>CLEAN</v>
      </c>
    </row>
    <row r="16" customFormat="false" ht="12.8" hidden="false" customHeight="false" outlineLevel="0" collapsed="false">
      <c r="A16" s="3" t="n">
        <v>45499.4444444444</v>
      </c>
      <c r="B16" s="1" t="s">
        <v>56</v>
      </c>
      <c r="C16" s="1" t="s">
        <v>57</v>
      </c>
      <c r="D16" s="4" t="s">
        <v>58</v>
      </c>
      <c r="E16" s="1" t="s">
        <v>17</v>
      </c>
      <c r="F16" s="1" t="s">
        <v>25</v>
      </c>
      <c r="G16" s="1" t="str">
        <f aca="false">TEXT(A16,"YYYY-MM-DD")</f>
        <v>2024-07-26</v>
      </c>
      <c r="H16" s="1" t="str">
        <f aca="false">TEXT(A16,"HH:MM")</f>
        <v>10:40</v>
      </c>
      <c r="I16" s="0" t="str">
        <f aca="false">IFERROR(VLOOKUP(C16,threat_intelligence!A:B,2,0),"CLEAN")</f>
        <v>CLEAN</v>
      </c>
    </row>
    <row r="17" customFormat="false" ht="12.8" hidden="false" customHeight="false" outlineLevel="0" collapsed="false">
      <c r="A17" s="3" t="n">
        <v>45500.2756944444</v>
      </c>
      <c r="B17" s="1" t="s">
        <v>59</v>
      </c>
      <c r="C17" s="1" t="s">
        <v>60</v>
      </c>
      <c r="D17" s="4" t="s">
        <v>61</v>
      </c>
      <c r="E17" s="1" t="s">
        <v>12</v>
      </c>
      <c r="F17" s="1" t="s">
        <v>13</v>
      </c>
      <c r="G17" s="1" t="str">
        <f aca="false">TEXT(A17,"YYYY-MM-DD")</f>
        <v>2024-07-27</v>
      </c>
      <c r="H17" s="1" t="str">
        <f aca="false">TEXT(A17,"HH:MM")</f>
        <v>06:37</v>
      </c>
      <c r="I17" s="0" t="str">
        <f aca="false">IFERROR(VLOOKUP(C17,threat_intelligence!A:B,2,0),"CLEAN")</f>
        <v>CLEAN</v>
      </c>
    </row>
    <row r="18" customFormat="false" ht="12.8" hidden="false" customHeight="false" outlineLevel="0" collapsed="false">
      <c r="A18" s="3" t="n">
        <v>45499.5895833333</v>
      </c>
      <c r="B18" s="1" t="s">
        <v>62</v>
      </c>
      <c r="C18" s="1" t="s">
        <v>63</v>
      </c>
      <c r="D18" s="4" t="s">
        <v>64</v>
      </c>
      <c r="E18" s="1" t="s">
        <v>21</v>
      </c>
      <c r="F18" s="1" t="s">
        <v>13</v>
      </c>
      <c r="G18" s="1" t="str">
        <f aca="false">TEXT(A18,"YYYY-MM-DD")</f>
        <v>2024-07-26</v>
      </c>
      <c r="H18" s="1" t="str">
        <f aca="false">TEXT(A18,"HH:MM")</f>
        <v>14:09</v>
      </c>
      <c r="I18" s="0" t="str">
        <f aca="false">IFERROR(VLOOKUP(C18,threat_intelligence!A:B,2,0),"CLEAN")</f>
        <v>CLEAN</v>
      </c>
    </row>
    <row r="19" customFormat="false" ht="12.8" hidden="false" customHeight="false" outlineLevel="0" collapsed="false">
      <c r="A19" s="3" t="n">
        <v>45500.0888888889</v>
      </c>
      <c r="B19" s="1" t="s">
        <v>65</v>
      </c>
      <c r="C19" s="1" t="s">
        <v>66</v>
      </c>
      <c r="D19" s="4" t="s">
        <v>67</v>
      </c>
      <c r="E19" s="1" t="s">
        <v>17</v>
      </c>
      <c r="F19" s="1" t="s">
        <v>13</v>
      </c>
      <c r="G19" s="1" t="str">
        <f aca="false">TEXT(A19,"YYYY-MM-DD")</f>
        <v>2024-07-27</v>
      </c>
      <c r="H19" s="1" t="str">
        <f aca="false">TEXT(A19,"HH:MM")</f>
        <v>02:08</v>
      </c>
      <c r="I19" s="0" t="str">
        <f aca="false">IFERROR(VLOOKUP(C19,threat_intelligence!A:B,2,0),"CLEAN")</f>
        <v>CLEAN</v>
      </c>
    </row>
    <row r="20" customFormat="false" ht="12.8" hidden="false" customHeight="false" outlineLevel="0" collapsed="false">
      <c r="A20" s="3" t="n">
        <v>45500.0430555556</v>
      </c>
      <c r="B20" s="1" t="s">
        <v>68</v>
      </c>
      <c r="C20" s="1" t="s">
        <v>69</v>
      </c>
      <c r="D20" s="4" t="s">
        <v>70</v>
      </c>
      <c r="E20" s="1" t="s">
        <v>17</v>
      </c>
      <c r="F20" s="1" t="s">
        <v>13</v>
      </c>
      <c r="G20" s="1" t="str">
        <f aca="false">TEXT(A20,"YYYY-MM-DD")</f>
        <v>2024-07-27</v>
      </c>
      <c r="H20" s="1" t="str">
        <f aca="false">TEXT(A20,"HH:MM")</f>
        <v>01:02</v>
      </c>
      <c r="I20" s="0" t="str">
        <f aca="false">IFERROR(VLOOKUP(C20,threat_intelligence!A:B,2,0),"CLEAN")</f>
        <v>CLEAN</v>
      </c>
    </row>
    <row r="21" customFormat="false" ht="12.8" hidden="false" customHeight="false" outlineLevel="0" collapsed="false">
      <c r="A21" s="3" t="n">
        <v>45499.9909722222</v>
      </c>
      <c r="B21" s="1" t="s">
        <v>71</v>
      </c>
      <c r="C21" s="1" t="s">
        <v>72</v>
      </c>
      <c r="D21" s="4" t="s">
        <v>73</v>
      </c>
      <c r="E21" s="1" t="s">
        <v>21</v>
      </c>
      <c r="F21" s="1" t="s">
        <v>13</v>
      </c>
      <c r="G21" s="1" t="str">
        <f aca="false">TEXT(A21,"YYYY-MM-DD")</f>
        <v>2024-07-26</v>
      </c>
      <c r="H21" s="1" t="str">
        <f aca="false">TEXT(A21,"HH:MM")</f>
        <v>23:47</v>
      </c>
      <c r="I21" s="0" t="str">
        <f aca="false">IFERROR(VLOOKUP(C21,threat_intelligence!A:B,2,0),"CLEAN")</f>
        <v>CLEAN</v>
      </c>
    </row>
    <row r="22" customFormat="false" ht="12.8" hidden="false" customHeight="false" outlineLevel="0" collapsed="false">
      <c r="A22" s="3" t="n">
        <v>45499.5173611111</v>
      </c>
      <c r="B22" s="1" t="s">
        <v>74</v>
      </c>
      <c r="C22" s="1" t="s">
        <v>75</v>
      </c>
      <c r="D22" s="4" t="s">
        <v>76</v>
      </c>
      <c r="E22" s="1" t="s">
        <v>12</v>
      </c>
      <c r="F22" s="1" t="s">
        <v>13</v>
      </c>
      <c r="G22" s="1" t="str">
        <f aca="false">TEXT(A22,"YYYY-MM-DD")</f>
        <v>2024-07-26</v>
      </c>
      <c r="H22" s="1" t="str">
        <f aca="false">TEXT(A22,"HH:MM")</f>
        <v>12:25</v>
      </c>
      <c r="I22" s="0" t="str">
        <f aca="false">IFERROR(VLOOKUP(C22,threat_intelligence!A:B,2,0),"CLEAN")</f>
        <v>CLEAN</v>
      </c>
    </row>
    <row r="23" customFormat="false" ht="12.8" hidden="false" customHeight="false" outlineLevel="0" collapsed="false">
      <c r="A23" s="3" t="n">
        <v>45499.8847222222</v>
      </c>
      <c r="B23" s="1" t="s">
        <v>77</v>
      </c>
      <c r="C23" s="1" t="s">
        <v>78</v>
      </c>
      <c r="D23" s="4" t="s">
        <v>79</v>
      </c>
      <c r="E23" s="1" t="s">
        <v>21</v>
      </c>
      <c r="F23" s="1" t="s">
        <v>13</v>
      </c>
      <c r="G23" s="1" t="str">
        <f aca="false">TEXT(A23,"YYYY-MM-DD")</f>
        <v>2024-07-26</v>
      </c>
      <c r="H23" s="1" t="str">
        <f aca="false">TEXT(A23,"HH:MM")</f>
        <v>21:14</v>
      </c>
      <c r="I23" s="0" t="str">
        <f aca="false">IFERROR(VLOOKUP(C23,threat_intelligence!A:B,2,0),"CLEAN")</f>
        <v>CLEAN</v>
      </c>
    </row>
    <row r="24" customFormat="false" ht="12.8" hidden="false" customHeight="false" outlineLevel="0" collapsed="false">
      <c r="A24" s="3" t="n">
        <v>45500.0472222222</v>
      </c>
      <c r="B24" s="1" t="s">
        <v>80</v>
      </c>
      <c r="C24" s="1" t="s">
        <v>81</v>
      </c>
      <c r="D24" s="4" t="s">
        <v>82</v>
      </c>
      <c r="E24" s="1" t="s">
        <v>21</v>
      </c>
      <c r="F24" s="1" t="s">
        <v>25</v>
      </c>
      <c r="G24" s="1" t="str">
        <f aca="false">TEXT(A24,"YYYY-MM-DD")</f>
        <v>2024-07-27</v>
      </c>
      <c r="H24" s="1" t="str">
        <f aca="false">TEXT(A24,"HH:MM")</f>
        <v>01:08</v>
      </c>
      <c r="I24" s="0" t="str">
        <f aca="false">IFERROR(VLOOKUP(C24,threat_intelligence!A:B,2,0),"CLEAN")</f>
        <v>CLEAN</v>
      </c>
    </row>
    <row r="25" customFormat="false" ht="12.8" hidden="false" customHeight="false" outlineLevel="0" collapsed="false">
      <c r="A25" s="3" t="n">
        <v>45499.4451388889</v>
      </c>
      <c r="B25" s="1" t="s">
        <v>83</v>
      </c>
      <c r="C25" s="1" t="s">
        <v>84</v>
      </c>
      <c r="D25" s="4" t="s">
        <v>85</v>
      </c>
      <c r="E25" s="1" t="s">
        <v>21</v>
      </c>
      <c r="F25" s="1" t="s">
        <v>13</v>
      </c>
      <c r="G25" s="1" t="str">
        <f aca="false">TEXT(A25,"YYYY-MM-DD")</f>
        <v>2024-07-26</v>
      </c>
      <c r="H25" s="1" t="str">
        <f aca="false">TEXT(A25,"HH:MM")</f>
        <v>10:41</v>
      </c>
      <c r="I25" s="0" t="str">
        <f aca="false">IFERROR(VLOOKUP(C25,threat_intelligence!A:B,2,0),"CLEAN")</f>
        <v>CLEAN</v>
      </c>
    </row>
    <row r="26" customFormat="false" ht="12.8" hidden="false" customHeight="false" outlineLevel="0" collapsed="false">
      <c r="A26" s="3" t="n">
        <v>45499.6173611111</v>
      </c>
      <c r="B26" s="1" t="s">
        <v>86</v>
      </c>
      <c r="C26" s="1" t="s">
        <v>87</v>
      </c>
      <c r="D26" s="4" t="s">
        <v>88</v>
      </c>
      <c r="E26" s="1" t="s">
        <v>12</v>
      </c>
      <c r="F26" s="1" t="s">
        <v>13</v>
      </c>
      <c r="G26" s="1" t="str">
        <f aca="false">TEXT(A26,"YYYY-MM-DD")</f>
        <v>2024-07-26</v>
      </c>
      <c r="H26" s="1" t="str">
        <f aca="false">TEXT(A26,"HH:MM")</f>
        <v>14:49</v>
      </c>
      <c r="I26" s="0" t="str">
        <f aca="false">IFERROR(VLOOKUP(C26,threat_intelligence!A:B,2,0),"CLEAN")</f>
        <v>CLEAN</v>
      </c>
    </row>
    <row r="27" customFormat="false" ht="12.8" hidden="false" customHeight="false" outlineLevel="0" collapsed="false">
      <c r="A27" s="3" t="n">
        <v>45499.6430555556</v>
      </c>
      <c r="B27" s="1" t="s">
        <v>89</v>
      </c>
      <c r="C27" s="1" t="s">
        <v>90</v>
      </c>
      <c r="D27" s="4" t="s">
        <v>91</v>
      </c>
      <c r="E27" s="1" t="s">
        <v>12</v>
      </c>
      <c r="F27" s="1" t="s">
        <v>25</v>
      </c>
      <c r="G27" s="1" t="str">
        <f aca="false">TEXT(A27,"YYYY-MM-DD")</f>
        <v>2024-07-26</v>
      </c>
      <c r="H27" s="1" t="str">
        <f aca="false">TEXT(A27,"HH:MM")</f>
        <v>15:26</v>
      </c>
      <c r="I27" s="0" t="str">
        <f aca="false">IFERROR(VLOOKUP(C27,threat_intelligence!A:B,2,0),"CLEAN")</f>
        <v>CLEAN</v>
      </c>
    </row>
    <row r="28" customFormat="false" ht="12.8" hidden="false" customHeight="false" outlineLevel="0" collapsed="false">
      <c r="A28" s="3" t="n">
        <v>45499.66875</v>
      </c>
      <c r="B28" s="1" t="s">
        <v>92</v>
      </c>
      <c r="C28" s="1" t="s">
        <v>93</v>
      </c>
      <c r="D28" s="4" t="s">
        <v>94</v>
      </c>
      <c r="E28" s="1" t="s">
        <v>17</v>
      </c>
      <c r="F28" s="1" t="s">
        <v>13</v>
      </c>
      <c r="G28" s="1" t="str">
        <f aca="false">TEXT(A28,"YYYY-MM-DD")</f>
        <v>2024-07-26</v>
      </c>
      <c r="H28" s="1" t="str">
        <f aca="false">TEXT(A28,"HH:MM")</f>
        <v>16:03</v>
      </c>
      <c r="I28" s="0" t="str">
        <f aca="false">IFERROR(VLOOKUP(C28,threat_intelligence!A:B,2,0),"CLEAN")</f>
        <v>CLEAN</v>
      </c>
    </row>
    <row r="29" customFormat="false" ht="12.8" hidden="false" customHeight="false" outlineLevel="0" collapsed="false">
      <c r="A29" s="3" t="n">
        <v>45500.1208333333</v>
      </c>
      <c r="B29" s="1" t="s">
        <v>95</v>
      </c>
      <c r="C29" s="1" t="s">
        <v>96</v>
      </c>
      <c r="D29" s="4" t="s">
        <v>97</v>
      </c>
      <c r="E29" s="1" t="s">
        <v>21</v>
      </c>
      <c r="F29" s="1" t="s">
        <v>25</v>
      </c>
      <c r="G29" s="1" t="str">
        <f aca="false">TEXT(A29,"YYYY-MM-DD")</f>
        <v>2024-07-27</v>
      </c>
      <c r="H29" s="1" t="str">
        <f aca="false">TEXT(A29,"HH:MM")</f>
        <v>02:54</v>
      </c>
      <c r="I29" s="0" t="str">
        <f aca="false">IFERROR(VLOOKUP(C29,threat_intelligence!A:B,2,0),"CLEAN")</f>
        <v>CLEAN</v>
      </c>
    </row>
    <row r="30" customFormat="false" ht="12.8" hidden="false" customHeight="false" outlineLevel="0" collapsed="false">
      <c r="A30" s="3" t="n">
        <v>45499.5715277778</v>
      </c>
      <c r="B30" s="1" t="s">
        <v>98</v>
      </c>
      <c r="C30" s="1" t="s">
        <v>99</v>
      </c>
      <c r="D30" s="4" t="s">
        <v>100</v>
      </c>
      <c r="E30" s="1" t="s">
        <v>12</v>
      </c>
      <c r="F30" s="1" t="s">
        <v>13</v>
      </c>
      <c r="G30" s="1" t="str">
        <f aca="false">TEXT(A30,"YYYY-MM-DD")</f>
        <v>2024-07-26</v>
      </c>
      <c r="H30" s="1" t="str">
        <f aca="false">TEXT(A30,"HH:MM")</f>
        <v>13:43</v>
      </c>
      <c r="I30" s="0" t="str">
        <f aca="false">IFERROR(VLOOKUP(C30,threat_intelligence!A:B,2,0),"CLEAN")</f>
        <v>CLEAN</v>
      </c>
    </row>
    <row r="31" customFormat="false" ht="12.8" hidden="false" customHeight="false" outlineLevel="0" collapsed="false">
      <c r="A31" s="3" t="n">
        <v>45499.6513888889</v>
      </c>
      <c r="B31" s="1" t="s">
        <v>101</v>
      </c>
      <c r="C31" s="1" t="s">
        <v>102</v>
      </c>
      <c r="D31" s="4" t="s">
        <v>103</v>
      </c>
      <c r="E31" s="1" t="s">
        <v>12</v>
      </c>
      <c r="F31" s="1" t="s">
        <v>13</v>
      </c>
      <c r="G31" s="1" t="str">
        <f aca="false">TEXT(A31,"YYYY-MM-DD")</f>
        <v>2024-07-26</v>
      </c>
      <c r="H31" s="1" t="str">
        <f aca="false">TEXT(A31,"HH:MM")</f>
        <v>15:38</v>
      </c>
      <c r="I31" s="0" t="str">
        <f aca="false">IFERROR(VLOOKUP(C31,threat_intelligence!A:B,2,0),"CLEAN")</f>
        <v>CLEAN</v>
      </c>
    </row>
    <row r="32" customFormat="false" ht="12.8" hidden="false" customHeight="false" outlineLevel="0" collapsed="false">
      <c r="A32" s="3" t="n">
        <v>45499.6354166667</v>
      </c>
      <c r="B32" s="1" t="s">
        <v>104</v>
      </c>
      <c r="C32" s="1" t="s">
        <v>105</v>
      </c>
      <c r="D32" s="4" t="s">
        <v>106</v>
      </c>
      <c r="E32" s="1" t="s">
        <v>21</v>
      </c>
      <c r="F32" s="1" t="s">
        <v>25</v>
      </c>
      <c r="G32" s="1" t="str">
        <f aca="false">TEXT(A32,"YYYY-MM-DD")</f>
        <v>2024-07-26</v>
      </c>
      <c r="H32" s="1" t="str">
        <f aca="false">TEXT(A32,"HH:MM")</f>
        <v>15:15</v>
      </c>
      <c r="I32" s="0" t="str">
        <f aca="false">IFERROR(VLOOKUP(C32,threat_intelligence!A:B,2,0),"CLEAN")</f>
        <v>CLEAN</v>
      </c>
    </row>
    <row r="33" customFormat="false" ht="12.8" hidden="false" customHeight="false" outlineLevel="0" collapsed="false">
      <c r="A33" s="3" t="n">
        <v>45499.8486111111</v>
      </c>
      <c r="B33" s="1" t="s">
        <v>107</v>
      </c>
      <c r="C33" s="1" t="s">
        <v>108</v>
      </c>
      <c r="D33" s="4" t="s">
        <v>109</v>
      </c>
      <c r="E33" s="1" t="s">
        <v>12</v>
      </c>
      <c r="F33" s="1" t="s">
        <v>25</v>
      </c>
      <c r="G33" s="1" t="str">
        <f aca="false">TEXT(A33,"YYYY-MM-DD")</f>
        <v>2024-07-26</v>
      </c>
      <c r="H33" s="1" t="str">
        <f aca="false">TEXT(A33,"HH:MM")</f>
        <v>20:22</v>
      </c>
      <c r="I33" s="0" t="str">
        <f aca="false">IFERROR(VLOOKUP(C33,threat_intelligence!A:B,2,0),"CLEAN")</f>
        <v>CLEAN</v>
      </c>
    </row>
    <row r="34" customFormat="false" ht="12.8" hidden="false" customHeight="false" outlineLevel="0" collapsed="false">
      <c r="A34" s="3" t="n">
        <v>45499.9347222222</v>
      </c>
      <c r="B34" s="1" t="s">
        <v>110</v>
      </c>
      <c r="C34" s="1" t="s">
        <v>111</v>
      </c>
      <c r="D34" s="4" t="s">
        <v>112</v>
      </c>
      <c r="E34" s="1" t="s">
        <v>21</v>
      </c>
      <c r="F34" s="1" t="s">
        <v>25</v>
      </c>
      <c r="G34" s="1" t="str">
        <f aca="false">TEXT(A34,"YYYY-MM-DD")</f>
        <v>2024-07-26</v>
      </c>
      <c r="H34" s="1" t="str">
        <f aca="false">TEXT(A34,"HH:MM")</f>
        <v>22:26</v>
      </c>
      <c r="I34" s="0" t="str">
        <f aca="false">IFERROR(VLOOKUP(C34,threat_intelligence!A:B,2,0),"CLEAN")</f>
        <v>CLEAN</v>
      </c>
    </row>
    <row r="35" customFormat="false" ht="12.8" hidden="false" customHeight="false" outlineLevel="0" collapsed="false">
      <c r="A35" s="3" t="n">
        <v>45499.7868055556</v>
      </c>
      <c r="B35" s="1" t="s">
        <v>113</v>
      </c>
      <c r="C35" s="1" t="s">
        <v>114</v>
      </c>
      <c r="D35" s="4" t="s">
        <v>115</v>
      </c>
      <c r="E35" s="1" t="s">
        <v>21</v>
      </c>
      <c r="F35" s="1" t="s">
        <v>13</v>
      </c>
      <c r="G35" s="1" t="str">
        <f aca="false">TEXT(A35,"YYYY-MM-DD")</f>
        <v>2024-07-26</v>
      </c>
      <c r="H35" s="1" t="str">
        <f aca="false">TEXT(A35,"HH:MM")</f>
        <v>18:53</v>
      </c>
      <c r="I35" s="0" t="str">
        <f aca="false">IFERROR(VLOOKUP(C35,threat_intelligence!A:B,2,0),"CLEAN")</f>
        <v>CLEAN</v>
      </c>
    </row>
    <row r="36" customFormat="false" ht="12.8" hidden="false" customHeight="false" outlineLevel="0" collapsed="false">
      <c r="A36" s="3" t="n">
        <v>45499.6534722222</v>
      </c>
      <c r="B36" s="1" t="s">
        <v>116</v>
      </c>
      <c r="C36" s="1" t="s">
        <v>117</v>
      </c>
      <c r="D36" s="4" t="s">
        <v>118</v>
      </c>
      <c r="E36" s="1" t="s">
        <v>21</v>
      </c>
      <c r="F36" s="1" t="s">
        <v>25</v>
      </c>
      <c r="G36" s="1" t="str">
        <f aca="false">TEXT(A36,"YYYY-MM-DD")</f>
        <v>2024-07-26</v>
      </c>
      <c r="H36" s="1" t="str">
        <f aca="false">TEXT(A36,"HH:MM")</f>
        <v>15:41</v>
      </c>
      <c r="I36" s="0" t="str">
        <f aca="false">IFERROR(VLOOKUP(C36,threat_intelligence!A:B,2,0),"CLEAN")</f>
        <v>CLEAN</v>
      </c>
    </row>
    <row r="37" customFormat="false" ht="12.8" hidden="false" customHeight="false" outlineLevel="0" collapsed="false">
      <c r="A37" s="3" t="n">
        <v>45499.4965277778</v>
      </c>
      <c r="B37" s="1" t="s">
        <v>119</v>
      </c>
      <c r="C37" s="1" t="s">
        <v>120</v>
      </c>
      <c r="D37" s="4" t="s">
        <v>121</v>
      </c>
      <c r="E37" s="1" t="s">
        <v>17</v>
      </c>
      <c r="F37" s="1" t="s">
        <v>13</v>
      </c>
      <c r="G37" s="1" t="str">
        <f aca="false">TEXT(A37,"YYYY-MM-DD")</f>
        <v>2024-07-26</v>
      </c>
      <c r="H37" s="1" t="str">
        <f aca="false">TEXT(A37,"HH:MM")</f>
        <v>11:55</v>
      </c>
      <c r="I37" s="0" t="str">
        <f aca="false">IFERROR(VLOOKUP(C37,threat_intelligence!A:B,2,0),"CLEAN")</f>
        <v>CLEAN</v>
      </c>
    </row>
    <row r="38" customFormat="false" ht="12.8" hidden="false" customHeight="false" outlineLevel="0" collapsed="false">
      <c r="A38" s="3" t="n">
        <v>45499.5034722222</v>
      </c>
      <c r="B38" s="1" t="s">
        <v>122</v>
      </c>
      <c r="C38" s="1" t="s">
        <v>123</v>
      </c>
      <c r="D38" s="4" t="s">
        <v>124</v>
      </c>
      <c r="E38" s="1" t="s">
        <v>17</v>
      </c>
      <c r="F38" s="1" t="s">
        <v>13</v>
      </c>
      <c r="G38" s="1" t="str">
        <f aca="false">TEXT(A38,"YYYY-MM-DD")</f>
        <v>2024-07-26</v>
      </c>
      <c r="H38" s="1" t="str">
        <f aca="false">TEXT(A38,"HH:MM")</f>
        <v>12:05</v>
      </c>
      <c r="I38" s="0" t="str">
        <f aca="false">IFERROR(VLOOKUP(C38,threat_intelligence!A:B,2,0),"CLEAN")</f>
        <v>CLEAN</v>
      </c>
    </row>
    <row r="39" customFormat="false" ht="12.8" hidden="false" customHeight="false" outlineLevel="0" collapsed="false">
      <c r="A39" s="3" t="n">
        <v>45499.6069444444</v>
      </c>
      <c r="B39" s="1" t="s">
        <v>125</v>
      </c>
      <c r="C39" s="1" t="s">
        <v>126</v>
      </c>
      <c r="D39" s="4" t="s">
        <v>127</v>
      </c>
      <c r="E39" s="1" t="s">
        <v>12</v>
      </c>
      <c r="F39" s="1" t="s">
        <v>13</v>
      </c>
      <c r="G39" s="1" t="str">
        <f aca="false">TEXT(A39,"YYYY-MM-DD")</f>
        <v>2024-07-26</v>
      </c>
      <c r="H39" s="1" t="str">
        <f aca="false">TEXT(A39,"HH:MM")</f>
        <v>14:34</v>
      </c>
      <c r="I39" s="0" t="str">
        <f aca="false">IFERROR(VLOOKUP(C39,threat_intelligence!A:B,2,0),"CLEAN")</f>
        <v>CLEAN</v>
      </c>
    </row>
    <row r="40" customFormat="false" ht="12.8" hidden="false" customHeight="false" outlineLevel="0" collapsed="false">
      <c r="A40" s="3" t="n">
        <v>45500.3298611111</v>
      </c>
      <c r="B40" s="1" t="s">
        <v>128</v>
      </c>
      <c r="C40" s="1" t="s">
        <v>129</v>
      </c>
      <c r="D40" s="4" t="s">
        <v>130</v>
      </c>
      <c r="E40" s="1" t="s">
        <v>17</v>
      </c>
      <c r="F40" s="1" t="s">
        <v>13</v>
      </c>
      <c r="G40" s="1" t="str">
        <f aca="false">TEXT(A40,"YYYY-MM-DD")</f>
        <v>2024-07-27</v>
      </c>
      <c r="H40" s="1" t="str">
        <f aca="false">TEXT(A40,"HH:MM")</f>
        <v>07:55</v>
      </c>
      <c r="I40" s="0" t="str">
        <f aca="false">IFERROR(VLOOKUP(C40,threat_intelligence!A:B,2,0),"CLEAN")</f>
        <v>CLEAN</v>
      </c>
    </row>
    <row r="41" customFormat="false" ht="12.8" hidden="false" customHeight="false" outlineLevel="0" collapsed="false">
      <c r="A41" s="3" t="n">
        <v>45500.2083333333</v>
      </c>
      <c r="B41" s="1" t="s">
        <v>131</v>
      </c>
      <c r="C41" s="1" t="s">
        <v>132</v>
      </c>
      <c r="D41" s="4" t="s">
        <v>133</v>
      </c>
      <c r="E41" s="1" t="s">
        <v>12</v>
      </c>
      <c r="F41" s="1" t="s">
        <v>13</v>
      </c>
      <c r="G41" s="1" t="str">
        <f aca="false">TEXT(A41,"YYYY-MM-DD")</f>
        <v>2024-07-27</v>
      </c>
      <c r="H41" s="1" t="str">
        <f aca="false">TEXT(A41,"HH:MM")</f>
        <v>05:00</v>
      </c>
      <c r="I41" s="0" t="str">
        <f aca="false">IFERROR(VLOOKUP(C41,threat_intelligence!A:B,2,0),"CLEAN")</f>
        <v>CLEAN</v>
      </c>
    </row>
    <row r="42" customFormat="false" ht="12.8" hidden="false" customHeight="false" outlineLevel="0" collapsed="false">
      <c r="A42" s="3" t="n">
        <v>45499.6861111111</v>
      </c>
      <c r="B42" s="1" t="s">
        <v>134</v>
      </c>
      <c r="C42" s="1" t="s">
        <v>135</v>
      </c>
      <c r="D42" s="4" t="s">
        <v>136</v>
      </c>
      <c r="E42" s="1" t="s">
        <v>12</v>
      </c>
      <c r="F42" s="1" t="s">
        <v>25</v>
      </c>
      <c r="G42" s="1" t="str">
        <f aca="false">TEXT(A42,"YYYY-MM-DD")</f>
        <v>2024-07-26</v>
      </c>
      <c r="H42" s="1" t="str">
        <f aca="false">TEXT(A42,"HH:MM")</f>
        <v>16:28</v>
      </c>
      <c r="I42" s="0" t="str">
        <f aca="false">IFERROR(VLOOKUP(C42,threat_intelligence!A:B,2,0),"CLEAN")</f>
        <v>CLEAN</v>
      </c>
    </row>
    <row r="43" customFormat="false" ht="12.8" hidden="false" customHeight="false" outlineLevel="0" collapsed="false">
      <c r="A43" s="3" t="n">
        <v>45499.98125</v>
      </c>
      <c r="B43" s="1" t="s">
        <v>137</v>
      </c>
      <c r="C43" s="1" t="s">
        <v>138</v>
      </c>
      <c r="D43" s="4" t="s">
        <v>139</v>
      </c>
      <c r="E43" s="1" t="s">
        <v>12</v>
      </c>
      <c r="F43" s="1" t="s">
        <v>25</v>
      </c>
      <c r="G43" s="1" t="str">
        <f aca="false">TEXT(A43,"YYYY-MM-DD")</f>
        <v>2024-07-26</v>
      </c>
      <c r="H43" s="1" t="str">
        <f aca="false">TEXT(A43,"HH:MM")</f>
        <v>23:33</v>
      </c>
      <c r="I43" s="0" t="str">
        <f aca="false">IFERROR(VLOOKUP(C43,threat_intelligence!A:B,2,0),"CLEAN")</f>
        <v>CLEAN</v>
      </c>
    </row>
    <row r="44" customFormat="false" ht="12.8" hidden="false" customHeight="false" outlineLevel="0" collapsed="false">
      <c r="A44" s="3" t="n">
        <v>45499.7784722222</v>
      </c>
      <c r="B44" s="1" t="s">
        <v>140</v>
      </c>
      <c r="C44" s="1" t="s">
        <v>141</v>
      </c>
      <c r="D44" s="4" t="s">
        <v>142</v>
      </c>
      <c r="E44" s="1" t="s">
        <v>12</v>
      </c>
      <c r="F44" s="1" t="s">
        <v>13</v>
      </c>
      <c r="G44" s="1" t="str">
        <f aca="false">TEXT(A44,"YYYY-MM-DD")</f>
        <v>2024-07-26</v>
      </c>
      <c r="H44" s="1" t="str">
        <f aca="false">TEXT(A44,"HH:MM")</f>
        <v>18:41</v>
      </c>
      <c r="I44" s="0" t="str">
        <f aca="false">IFERROR(VLOOKUP(C44,threat_intelligence!A:B,2,0),"CLEAN")</f>
        <v>CLEAN</v>
      </c>
    </row>
    <row r="45" customFormat="false" ht="12.8" hidden="false" customHeight="false" outlineLevel="0" collapsed="false">
      <c r="A45" s="3" t="n">
        <v>45499.875</v>
      </c>
      <c r="B45" s="1" t="s">
        <v>143</v>
      </c>
      <c r="C45" s="1" t="s">
        <v>144</v>
      </c>
      <c r="D45" s="4" t="s">
        <v>145</v>
      </c>
      <c r="E45" s="1" t="s">
        <v>21</v>
      </c>
      <c r="F45" s="1" t="s">
        <v>25</v>
      </c>
      <c r="G45" s="1" t="str">
        <f aca="false">TEXT(A45,"YYYY-MM-DD")</f>
        <v>2024-07-26</v>
      </c>
      <c r="H45" s="1" t="str">
        <f aca="false">TEXT(A45,"HH:MM")</f>
        <v>21:00</v>
      </c>
      <c r="I45" s="0" t="str">
        <f aca="false">IFERROR(VLOOKUP(C45,threat_intelligence!A:B,2,0),"CLEAN")</f>
        <v>CLEAN</v>
      </c>
    </row>
    <row r="46" customFormat="false" ht="12.8" hidden="false" customHeight="false" outlineLevel="0" collapsed="false">
      <c r="A46" s="3" t="n">
        <v>45499.6694444444</v>
      </c>
      <c r="B46" s="1" t="s">
        <v>146</v>
      </c>
      <c r="C46" s="1" t="s">
        <v>147</v>
      </c>
      <c r="D46" s="4" t="s">
        <v>148</v>
      </c>
      <c r="E46" s="1" t="s">
        <v>17</v>
      </c>
      <c r="F46" s="1" t="s">
        <v>25</v>
      </c>
      <c r="G46" s="1" t="str">
        <f aca="false">TEXT(A46,"YYYY-MM-DD")</f>
        <v>2024-07-26</v>
      </c>
      <c r="H46" s="1" t="str">
        <f aca="false">TEXT(A46,"HH:MM")</f>
        <v>16:04</v>
      </c>
      <c r="I46" s="0" t="str">
        <f aca="false">IFERROR(VLOOKUP(C46,threat_intelligence!A:B,2,0),"CLEAN")</f>
        <v>CLEAN</v>
      </c>
    </row>
    <row r="47" customFormat="false" ht="12.8" hidden="false" customHeight="false" outlineLevel="0" collapsed="false">
      <c r="A47" s="3" t="n">
        <v>45499.4951388889</v>
      </c>
      <c r="B47" s="1" t="s">
        <v>149</v>
      </c>
      <c r="C47" s="1" t="s">
        <v>150</v>
      </c>
      <c r="D47" s="4" t="s">
        <v>151</v>
      </c>
      <c r="E47" s="1" t="s">
        <v>17</v>
      </c>
      <c r="F47" s="1" t="s">
        <v>25</v>
      </c>
      <c r="G47" s="1" t="str">
        <f aca="false">TEXT(A47,"YYYY-MM-DD")</f>
        <v>2024-07-26</v>
      </c>
      <c r="H47" s="1" t="str">
        <f aca="false">TEXT(A47,"HH:MM")</f>
        <v>11:53</v>
      </c>
      <c r="I47" s="0" t="str">
        <f aca="false">IFERROR(VLOOKUP(C47,threat_intelligence!A:B,2,0),"CLEAN")</f>
        <v>CLEAN</v>
      </c>
    </row>
    <row r="48" customFormat="false" ht="12.8" hidden="false" customHeight="false" outlineLevel="0" collapsed="false">
      <c r="A48" s="3" t="n">
        <v>45499.5180555556</v>
      </c>
      <c r="B48" s="1" t="s">
        <v>152</v>
      </c>
      <c r="C48" s="1" t="s">
        <v>153</v>
      </c>
      <c r="D48" s="4" t="s">
        <v>154</v>
      </c>
      <c r="E48" s="1" t="s">
        <v>21</v>
      </c>
      <c r="F48" s="1" t="s">
        <v>25</v>
      </c>
      <c r="G48" s="1" t="str">
        <f aca="false">TEXT(A48,"YYYY-MM-DD")</f>
        <v>2024-07-26</v>
      </c>
      <c r="H48" s="1" t="str">
        <f aca="false">TEXT(A48,"HH:MM")</f>
        <v>12:26</v>
      </c>
      <c r="I48" s="0" t="str">
        <f aca="false">IFERROR(VLOOKUP(C48,threat_intelligence!A:B,2,0),"CLEAN")</f>
        <v>CLEAN</v>
      </c>
    </row>
    <row r="49" customFormat="false" ht="12.8" hidden="false" customHeight="false" outlineLevel="0" collapsed="false">
      <c r="A49" s="3" t="n">
        <v>45499.9194444444</v>
      </c>
      <c r="B49" s="1" t="s">
        <v>155</v>
      </c>
      <c r="C49" s="1" t="s">
        <v>156</v>
      </c>
      <c r="D49" s="4" t="s">
        <v>157</v>
      </c>
      <c r="E49" s="1" t="s">
        <v>17</v>
      </c>
      <c r="F49" s="1" t="s">
        <v>13</v>
      </c>
      <c r="G49" s="1" t="str">
        <f aca="false">TEXT(A49,"YYYY-MM-DD")</f>
        <v>2024-07-26</v>
      </c>
      <c r="H49" s="1" t="str">
        <f aca="false">TEXT(A49,"HH:MM")</f>
        <v>22:04</v>
      </c>
      <c r="I49" s="0" t="str">
        <f aca="false">IFERROR(VLOOKUP(C49,threat_intelligence!A:B,2,0),"CLEAN")</f>
        <v>CLEAN</v>
      </c>
    </row>
    <row r="50" customFormat="false" ht="12.8" hidden="false" customHeight="false" outlineLevel="0" collapsed="false">
      <c r="A50" s="3" t="n">
        <v>45499.8541666667</v>
      </c>
      <c r="B50" s="1" t="s">
        <v>158</v>
      </c>
      <c r="C50" s="1" t="s">
        <v>159</v>
      </c>
      <c r="D50" s="4" t="s">
        <v>160</v>
      </c>
      <c r="E50" s="1" t="s">
        <v>12</v>
      </c>
      <c r="F50" s="1" t="s">
        <v>13</v>
      </c>
      <c r="G50" s="1" t="str">
        <f aca="false">TEXT(A50,"YYYY-MM-DD")</f>
        <v>2024-07-26</v>
      </c>
      <c r="H50" s="1" t="str">
        <f aca="false">TEXT(A50,"HH:MM")</f>
        <v>20:30</v>
      </c>
      <c r="I50" s="0" t="str">
        <f aca="false">IFERROR(VLOOKUP(C50,threat_intelligence!A:B,2,0),"CLEAN")</f>
        <v>CLEAN</v>
      </c>
    </row>
    <row r="51" customFormat="false" ht="12.8" hidden="false" customHeight="false" outlineLevel="0" collapsed="false">
      <c r="A51" s="3" t="n">
        <v>45500.1479166667</v>
      </c>
      <c r="B51" s="1" t="s">
        <v>161</v>
      </c>
      <c r="C51" s="1" t="s">
        <v>162</v>
      </c>
      <c r="D51" s="4" t="s">
        <v>163</v>
      </c>
      <c r="E51" s="1" t="s">
        <v>12</v>
      </c>
      <c r="F51" s="1" t="s">
        <v>13</v>
      </c>
      <c r="G51" s="1" t="str">
        <f aca="false">TEXT(A51,"YYYY-MM-DD")</f>
        <v>2024-07-27</v>
      </c>
      <c r="H51" s="1" t="str">
        <f aca="false">TEXT(A51,"HH:MM")</f>
        <v>03:33</v>
      </c>
      <c r="I51" s="0" t="str">
        <f aca="false">IFERROR(VLOOKUP(C51,threat_intelligence!A:B,2,0),"CLEAN")</f>
        <v>CLEAN</v>
      </c>
    </row>
    <row r="52" customFormat="false" ht="12.8" hidden="false" customHeight="false" outlineLevel="0" collapsed="false">
      <c r="A52" s="3" t="n">
        <v>45499.46875</v>
      </c>
      <c r="B52" s="1" t="s">
        <v>164</v>
      </c>
      <c r="C52" s="1" t="s">
        <v>165</v>
      </c>
      <c r="D52" s="4" t="s">
        <v>166</v>
      </c>
      <c r="E52" s="1" t="s">
        <v>21</v>
      </c>
      <c r="F52" s="1" t="s">
        <v>13</v>
      </c>
      <c r="G52" s="1" t="str">
        <f aca="false">TEXT(A52,"YYYY-MM-DD")</f>
        <v>2024-07-26</v>
      </c>
      <c r="H52" s="1" t="str">
        <f aca="false">TEXT(A52,"HH:MM")</f>
        <v>11:15</v>
      </c>
      <c r="I52" s="0" t="str">
        <f aca="false">IFERROR(VLOOKUP(C52,threat_intelligence!A:B,2,0),"CLEAN")</f>
        <v>CLEAN</v>
      </c>
    </row>
    <row r="53" customFormat="false" ht="12.8" hidden="false" customHeight="false" outlineLevel="0" collapsed="false">
      <c r="A53" s="3" t="n">
        <v>45499.5541666667</v>
      </c>
      <c r="B53" s="1" t="s">
        <v>167</v>
      </c>
      <c r="C53" s="1" t="s">
        <v>168</v>
      </c>
      <c r="D53" s="4" t="s">
        <v>169</v>
      </c>
      <c r="E53" s="1" t="s">
        <v>12</v>
      </c>
      <c r="F53" s="1" t="s">
        <v>13</v>
      </c>
      <c r="G53" s="1" t="str">
        <f aca="false">TEXT(A53,"YYYY-MM-DD")</f>
        <v>2024-07-26</v>
      </c>
      <c r="H53" s="1" t="str">
        <f aca="false">TEXT(A53,"HH:MM")</f>
        <v>13:18</v>
      </c>
      <c r="I53" s="0" t="str">
        <f aca="false">IFERROR(VLOOKUP(C53,threat_intelligence!A:B,2,0),"CLEAN")</f>
        <v>CLEAN</v>
      </c>
    </row>
    <row r="54" customFormat="false" ht="12.8" hidden="false" customHeight="false" outlineLevel="0" collapsed="false">
      <c r="A54" s="3" t="n">
        <v>45499.9090277778</v>
      </c>
      <c r="B54" s="1" t="s">
        <v>170</v>
      </c>
      <c r="C54" s="1" t="s">
        <v>171</v>
      </c>
      <c r="D54" s="4" t="s">
        <v>172</v>
      </c>
      <c r="E54" s="1" t="s">
        <v>17</v>
      </c>
      <c r="F54" s="1" t="s">
        <v>25</v>
      </c>
      <c r="G54" s="1" t="str">
        <f aca="false">TEXT(A54,"YYYY-MM-DD")</f>
        <v>2024-07-26</v>
      </c>
      <c r="H54" s="1" t="str">
        <f aca="false">TEXT(A54,"HH:MM")</f>
        <v>21:49</v>
      </c>
      <c r="I54" s="0" t="str">
        <f aca="false">IFERROR(VLOOKUP(C54,threat_intelligence!A:B,2,0),"CLEAN")</f>
        <v>CLEAN</v>
      </c>
    </row>
    <row r="55" customFormat="false" ht="12.8" hidden="false" customHeight="false" outlineLevel="0" collapsed="false">
      <c r="A55" s="3" t="n">
        <v>45499.7430555556</v>
      </c>
      <c r="B55" s="1" t="s">
        <v>173</v>
      </c>
      <c r="C55" s="1" t="s">
        <v>174</v>
      </c>
      <c r="D55" s="4" t="s">
        <v>175</v>
      </c>
      <c r="E55" s="1" t="s">
        <v>21</v>
      </c>
      <c r="F55" s="1" t="s">
        <v>13</v>
      </c>
      <c r="G55" s="1" t="str">
        <f aca="false">TEXT(A55,"YYYY-MM-DD")</f>
        <v>2024-07-26</v>
      </c>
      <c r="H55" s="1" t="str">
        <f aca="false">TEXT(A55,"HH:MM")</f>
        <v>17:50</v>
      </c>
      <c r="I55" s="0" t="str">
        <f aca="false">IFERROR(VLOOKUP(C55,threat_intelligence!A:B,2,0),"CLEAN")</f>
        <v>CLEAN</v>
      </c>
    </row>
    <row r="56" customFormat="false" ht="12.8" hidden="false" customHeight="false" outlineLevel="0" collapsed="false">
      <c r="A56" s="3" t="n">
        <v>45500.025</v>
      </c>
      <c r="B56" s="1" t="s">
        <v>176</v>
      </c>
      <c r="C56" s="1" t="s">
        <v>177</v>
      </c>
      <c r="D56" s="4" t="s">
        <v>178</v>
      </c>
      <c r="E56" s="1" t="s">
        <v>12</v>
      </c>
      <c r="F56" s="1" t="s">
        <v>25</v>
      </c>
      <c r="G56" s="1" t="str">
        <f aca="false">TEXT(A56,"YYYY-MM-DD")</f>
        <v>2024-07-27</v>
      </c>
      <c r="H56" s="1" t="str">
        <f aca="false">TEXT(A56,"HH:MM")</f>
        <v>00:36</v>
      </c>
      <c r="I56" s="0" t="str">
        <f aca="false">IFERROR(VLOOKUP(C56,threat_intelligence!A:B,2,0),"CLEAN")</f>
        <v>CLEAN</v>
      </c>
    </row>
    <row r="57" customFormat="false" ht="12.8" hidden="false" customHeight="false" outlineLevel="0" collapsed="false">
      <c r="A57" s="3" t="n">
        <v>45499.8118055556</v>
      </c>
      <c r="B57" s="1" t="s">
        <v>179</v>
      </c>
      <c r="C57" s="1" t="s">
        <v>180</v>
      </c>
      <c r="D57" s="4" t="s">
        <v>181</v>
      </c>
      <c r="E57" s="1" t="s">
        <v>17</v>
      </c>
      <c r="F57" s="1" t="s">
        <v>13</v>
      </c>
      <c r="G57" s="1" t="str">
        <f aca="false">TEXT(A57,"YYYY-MM-DD")</f>
        <v>2024-07-26</v>
      </c>
      <c r="H57" s="1" t="str">
        <f aca="false">TEXT(A57,"HH:MM")</f>
        <v>19:29</v>
      </c>
      <c r="I57" s="0" t="str">
        <f aca="false">IFERROR(VLOOKUP(C57,threat_intelligence!A:B,2,0),"CLEAN")</f>
        <v>CLEAN</v>
      </c>
    </row>
    <row r="58" customFormat="false" ht="12.8" hidden="false" customHeight="false" outlineLevel="0" collapsed="false">
      <c r="A58" s="3" t="n">
        <v>45500.0708333333</v>
      </c>
      <c r="B58" s="1" t="s">
        <v>182</v>
      </c>
      <c r="C58" s="1" t="s">
        <v>183</v>
      </c>
      <c r="D58" s="4" t="s">
        <v>184</v>
      </c>
      <c r="E58" s="1" t="s">
        <v>17</v>
      </c>
      <c r="F58" s="1" t="s">
        <v>25</v>
      </c>
      <c r="G58" s="1" t="str">
        <f aca="false">TEXT(A58,"YYYY-MM-DD")</f>
        <v>2024-07-27</v>
      </c>
      <c r="H58" s="1" t="str">
        <f aca="false">TEXT(A58,"HH:MM")</f>
        <v>01:42</v>
      </c>
      <c r="I58" s="0" t="str">
        <f aca="false">IFERROR(VLOOKUP(C58,threat_intelligence!A:B,2,0),"CLEAN")</f>
        <v>CLEAN</v>
      </c>
    </row>
    <row r="59" customFormat="false" ht="12.8" hidden="false" customHeight="false" outlineLevel="0" collapsed="false">
      <c r="A59" s="3" t="n">
        <v>45499.5333333333</v>
      </c>
      <c r="B59" s="1" t="s">
        <v>185</v>
      </c>
      <c r="C59" s="1" t="s">
        <v>186</v>
      </c>
      <c r="D59" s="4" t="s">
        <v>187</v>
      </c>
      <c r="E59" s="1" t="s">
        <v>17</v>
      </c>
      <c r="F59" s="1" t="s">
        <v>25</v>
      </c>
      <c r="G59" s="1" t="str">
        <f aca="false">TEXT(A59,"YYYY-MM-DD")</f>
        <v>2024-07-26</v>
      </c>
      <c r="H59" s="1" t="str">
        <f aca="false">TEXT(A59,"HH:MM")</f>
        <v>12:48</v>
      </c>
      <c r="I59" s="0" t="str">
        <f aca="false">IFERROR(VLOOKUP(C59,threat_intelligence!A:B,2,0),"CLEAN")</f>
        <v>CLEAN</v>
      </c>
    </row>
    <row r="60" customFormat="false" ht="12.8" hidden="false" customHeight="false" outlineLevel="0" collapsed="false">
      <c r="A60" s="3" t="n">
        <v>45499.6715277778</v>
      </c>
      <c r="B60" s="1" t="s">
        <v>188</v>
      </c>
      <c r="C60" s="1" t="s">
        <v>189</v>
      </c>
      <c r="D60" s="4" t="s">
        <v>190</v>
      </c>
      <c r="E60" s="1" t="s">
        <v>12</v>
      </c>
      <c r="F60" s="1" t="s">
        <v>13</v>
      </c>
      <c r="G60" s="1" t="str">
        <f aca="false">TEXT(A60,"YYYY-MM-DD")</f>
        <v>2024-07-26</v>
      </c>
      <c r="H60" s="1" t="str">
        <f aca="false">TEXT(A60,"HH:MM")</f>
        <v>16:07</v>
      </c>
      <c r="I60" s="0" t="str">
        <f aca="false">IFERROR(VLOOKUP(C60,threat_intelligence!A:B,2,0),"CLEAN")</f>
        <v>CLEAN</v>
      </c>
    </row>
    <row r="61" customFormat="false" ht="12.8" hidden="false" customHeight="false" outlineLevel="0" collapsed="false">
      <c r="A61" s="3" t="n">
        <v>45499.3381944445</v>
      </c>
      <c r="B61" s="1" t="s">
        <v>191</v>
      </c>
      <c r="C61" s="1" t="s">
        <v>192</v>
      </c>
      <c r="D61" s="4" t="s">
        <v>193</v>
      </c>
      <c r="E61" s="1" t="s">
        <v>12</v>
      </c>
      <c r="F61" s="1" t="s">
        <v>25</v>
      </c>
      <c r="G61" s="1" t="str">
        <f aca="false">TEXT(A61,"YYYY-MM-DD")</f>
        <v>2024-07-26</v>
      </c>
      <c r="H61" s="1" t="str">
        <f aca="false">TEXT(A61,"HH:MM")</f>
        <v>08:07</v>
      </c>
      <c r="I61" s="0" t="str">
        <f aca="false">IFERROR(VLOOKUP(C61,threat_intelligence!A:B,2,0),"CLEAN")</f>
        <v>CLEAN</v>
      </c>
    </row>
    <row r="62" customFormat="false" ht="12.8" hidden="false" customHeight="false" outlineLevel="0" collapsed="false">
      <c r="A62" s="3" t="n">
        <v>45499.5611111111</v>
      </c>
      <c r="B62" s="1" t="s">
        <v>194</v>
      </c>
      <c r="C62" s="1" t="s">
        <v>195</v>
      </c>
      <c r="D62" s="4" t="s">
        <v>196</v>
      </c>
      <c r="E62" s="1" t="s">
        <v>17</v>
      </c>
      <c r="F62" s="1" t="s">
        <v>13</v>
      </c>
      <c r="G62" s="1" t="str">
        <f aca="false">TEXT(A62,"YYYY-MM-DD")</f>
        <v>2024-07-26</v>
      </c>
      <c r="H62" s="1" t="str">
        <f aca="false">TEXT(A62,"HH:MM")</f>
        <v>13:28</v>
      </c>
      <c r="I62" s="0" t="str">
        <f aca="false">IFERROR(VLOOKUP(C62,threat_intelligence!A:B,2,0),"CLEAN")</f>
        <v>CLEAN</v>
      </c>
    </row>
    <row r="63" customFormat="false" ht="12.8" hidden="false" customHeight="false" outlineLevel="0" collapsed="false">
      <c r="A63" s="3" t="n">
        <v>45500.0756944444</v>
      </c>
      <c r="B63" s="1" t="s">
        <v>197</v>
      </c>
      <c r="C63" s="1" t="s">
        <v>198</v>
      </c>
      <c r="D63" s="4" t="s">
        <v>199</v>
      </c>
      <c r="E63" s="1" t="s">
        <v>12</v>
      </c>
      <c r="F63" s="1" t="s">
        <v>25</v>
      </c>
      <c r="G63" s="1" t="str">
        <f aca="false">TEXT(A63,"YYYY-MM-DD")</f>
        <v>2024-07-27</v>
      </c>
      <c r="H63" s="1" t="str">
        <f aca="false">TEXT(A63,"HH:MM")</f>
        <v>01:49</v>
      </c>
      <c r="I63" s="0" t="str">
        <f aca="false">IFERROR(VLOOKUP(C63,threat_intelligence!A:B,2,0),"CLEAN")</f>
        <v>CLEAN</v>
      </c>
    </row>
    <row r="64" customFormat="false" ht="12.8" hidden="false" customHeight="false" outlineLevel="0" collapsed="false">
      <c r="A64" s="3" t="n">
        <v>45499.6270833333</v>
      </c>
      <c r="B64" s="1" t="s">
        <v>200</v>
      </c>
      <c r="C64" s="1" t="s">
        <v>201</v>
      </c>
      <c r="D64" s="4" t="s">
        <v>202</v>
      </c>
      <c r="E64" s="1" t="s">
        <v>17</v>
      </c>
      <c r="F64" s="1" t="s">
        <v>25</v>
      </c>
      <c r="G64" s="1" t="str">
        <f aca="false">TEXT(A64,"YYYY-MM-DD")</f>
        <v>2024-07-26</v>
      </c>
      <c r="H64" s="1" t="str">
        <f aca="false">TEXT(A64,"HH:MM")</f>
        <v>15:03</v>
      </c>
      <c r="I64" s="0" t="str">
        <f aca="false">IFERROR(VLOOKUP(C64,threat_intelligence!A:B,2,0),"CLEAN")</f>
        <v>CLEAN</v>
      </c>
    </row>
    <row r="65" customFormat="false" ht="12.8" hidden="false" customHeight="false" outlineLevel="0" collapsed="false">
      <c r="A65" s="3" t="n">
        <v>45499.6159722222</v>
      </c>
      <c r="B65" s="1" t="s">
        <v>203</v>
      </c>
      <c r="C65" s="1" t="s">
        <v>204</v>
      </c>
      <c r="D65" s="4" t="s">
        <v>205</v>
      </c>
      <c r="E65" s="1" t="s">
        <v>21</v>
      </c>
      <c r="F65" s="1" t="s">
        <v>25</v>
      </c>
      <c r="G65" s="1" t="str">
        <f aca="false">TEXT(A65,"YYYY-MM-DD")</f>
        <v>2024-07-26</v>
      </c>
      <c r="H65" s="1" t="str">
        <f aca="false">TEXT(A65,"HH:MM")</f>
        <v>14:47</v>
      </c>
      <c r="I65" s="0" t="str">
        <f aca="false">IFERROR(VLOOKUP(C65,threat_intelligence!A:B,2,0),"CLEAN")</f>
        <v>CLEAN</v>
      </c>
    </row>
    <row r="66" customFormat="false" ht="12.8" hidden="false" customHeight="false" outlineLevel="0" collapsed="false">
      <c r="A66" s="3" t="n">
        <v>45500.2736111111</v>
      </c>
      <c r="B66" s="1" t="s">
        <v>206</v>
      </c>
      <c r="C66" s="1" t="s">
        <v>207</v>
      </c>
      <c r="D66" s="4" t="s">
        <v>208</v>
      </c>
      <c r="E66" s="1" t="s">
        <v>17</v>
      </c>
      <c r="F66" s="1" t="s">
        <v>13</v>
      </c>
      <c r="G66" s="1" t="str">
        <f aca="false">TEXT(A66,"YYYY-MM-DD")</f>
        <v>2024-07-27</v>
      </c>
      <c r="H66" s="1" t="str">
        <f aca="false">TEXT(A66,"HH:MM")</f>
        <v>06:34</v>
      </c>
      <c r="I66" s="0" t="str">
        <f aca="false">IFERROR(VLOOKUP(C66,threat_intelligence!A:B,2,0),"CLEAN")</f>
        <v>CLEAN</v>
      </c>
    </row>
    <row r="67" customFormat="false" ht="12.8" hidden="false" customHeight="false" outlineLevel="0" collapsed="false">
      <c r="A67" s="3" t="n">
        <v>45499.4722222222</v>
      </c>
      <c r="B67" s="1" t="s">
        <v>209</v>
      </c>
      <c r="C67" s="1" t="s">
        <v>210</v>
      </c>
      <c r="D67" s="4" t="s">
        <v>211</v>
      </c>
      <c r="E67" s="1" t="s">
        <v>21</v>
      </c>
      <c r="F67" s="1" t="s">
        <v>13</v>
      </c>
      <c r="G67" s="1" t="str">
        <f aca="false">TEXT(A67,"YYYY-MM-DD")</f>
        <v>2024-07-26</v>
      </c>
      <c r="H67" s="1" t="str">
        <f aca="false">TEXT(A67,"HH:MM")</f>
        <v>11:20</v>
      </c>
      <c r="I67" s="0" t="str">
        <f aca="false">IFERROR(VLOOKUP(C67,threat_intelligence!A:B,2,0),"CLEAN")</f>
        <v>CLEAN</v>
      </c>
    </row>
    <row r="68" customFormat="false" ht="12.8" hidden="false" customHeight="false" outlineLevel="0" collapsed="false">
      <c r="A68" s="3" t="n">
        <v>45500.0951388889</v>
      </c>
      <c r="B68" s="1" t="s">
        <v>212</v>
      </c>
      <c r="C68" s="1" t="s">
        <v>213</v>
      </c>
      <c r="D68" s="4" t="s">
        <v>214</v>
      </c>
      <c r="E68" s="1" t="s">
        <v>17</v>
      </c>
      <c r="F68" s="1" t="s">
        <v>25</v>
      </c>
      <c r="G68" s="1" t="str">
        <f aca="false">TEXT(A68,"YYYY-MM-DD")</f>
        <v>2024-07-27</v>
      </c>
      <c r="H68" s="1" t="str">
        <f aca="false">TEXT(A68,"HH:MM")</f>
        <v>02:17</v>
      </c>
      <c r="I68" s="0" t="str">
        <f aca="false">IFERROR(VLOOKUP(C68,threat_intelligence!A:B,2,0),"CLEAN")</f>
        <v>CLEAN</v>
      </c>
    </row>
    <row r="69" customFormat="false" ht="12.8" hidden="false" customHeight="false" outlineLevel="0" collapsed="false">
      <c r="A69" s="3" t="n">
        <v>45500.2666666667</v>
      </c>
      <c r="B69" s="1" t="s">
        <v>215</v>
      </c>
      <c r="C69" s="1" t="s">
        <v>216</v>
      </c>
      <c r="D69" s="4" t="s">
        <v>217</v>
      </c>
      <c r="E69" s="1" t="s">
        <v>21</v>
      </c>
      <c r="F69" s="1" t="s">
        <v>25</v>
      </c>
      <c r="G69" s="1" t="str">
        <f aca="false">TEXT(A69,"YYYY-MM-DD")</f>
        <v>2024-07-27</v>
      </c>
      <c r="H69" s="1" t="str">
        <f aca="false">TEXT(A69,"HH:MM")</f>
        <v>06:24</v>
      </c>
      <c r="I69" s="0" t="str">
        <f aca="false">IFERROR(VLOOKUP(C69,threat_intelligence!A:B,2,0),"CLEAN")</f>
        <v>CLEAN</v>
      </c>
    </row>
    <row r="70" customFormat="false" ht="12.8" hidden="false" customHeight="false" outlineLevel="0" collapsed="false">
      <c r="A70" s="3" t="n">
        <v>45499.3333333333</v>
      </c>
      <c r="B70" s="1" t="s">
        <v>218</v>
      </c>
      <c r="C70" s="1" t="s">
        <v>219</v>
      </c>
      <c r="D70" s="4" t="s">
        <v>220</v>
      </c>
      <c r="E70" s="1" t="s">
        <v>17</v>
      </c>
      <c r="F70" s="1" t="s">
        <v>13</v>
      </c>
      <c r="G70" s="1" t="str">
        <f aca="false">TEXT(A70,"YYYY-MM-DD")</f>
        <v>2024-07-26</v>
      </c>
      <c r="H70" s="1" t="str">
        <f aca="false">TEXT(A70,"HH:MM")</f>
        <v>08:00</v>
      </c>
      <c r="I70" s="0" t="str">
        <f aca="false">IFERROR(VLOOKUP(C70,threat_intelligence!A:B,2,0),"CLEAN")</f>
        <v>CLEAN</v>
      </c>
    </row>
    <row r="71" customFormat="false" ht="12.8" hidden="false" customHeight="false" outlineLevel="0" collapsed="false">
      <c r="A71" s="3" t="n">
        <v>45499.6104166667</v>
      </c>
      <c r="B71" s="1" t="s">
        <v>221</v>
      </c>
      <c r="C71" s="1" t="s">
        <v>222</v>
      </c>
      <c r="D71" s="4" t="s">
        <v>223</v>
      </c>
      <c r="E71" s="1" t="s">
        <v>12</v>
      </c>
      <c r="F71" s="1" t="s">
        <v>13</v>
      </c>
      <c r="G71" s="1" t="str">
        <f aca="false">TEXT(A71,"YYYY-MM-DD")</f>
        <v>2024-07-26</v>
      </c>
      <c r="H71" s="1" t="str">
        <f aca="false">TEXT(A71,"HH:MM")</f>
        <v>14:39</v>
      </c>
      <c r="I71" s="0" t="str">
        <f aca="false">IFERROR(VLOOKUP(C71,threat_intelligence!A:B,2,0),"CLEAN")</f>
        <v>CLEAN</v>
      </c>
    </row>
    <row r="72" customFormat="false" ht="12.8" hidden="false" customHeight="false" outlineLevel="0" collapsed="false">
      <c r="A72" s="3" t="n">
        <v>45500.0868055556</v>
      </c>
      <c r="B72" s="1" t="s">
        <v>224</v>
      </c>
      <c r="C72" s="1" t="s">
        <v>225</v>
      </c>
      <c r="D72" s="4" t="s">
        <v>226</v>
      </c>
      <c r="E72" s="1" t="s">
        <v>21</v>
      </c>
      <c r="F72" s="1" t="s">
        <v>13</v>
      </c>
      <c r="G72" s="1" t="str">
        <f aca="false">TEXT(A72,"YYYY-MM-DD")</f>
        <v>2024-07-27</v>
      </c>
      <c r="H72" s="1" t="str">
        <f aca="false">TEXT(A72,"HH:MM")</f>
        <v>02:05</v>
      </c>
      <c r="I72" s="0" t="str">
        <f aca="false">IFERROR(VLOOKUP(C72,threat_intelligence!A:B,2,0),"CLEAN")</f>
        <v>CLEAN</v>
      </c>
    </row>
    <row r="73" customFormat="false" ht="12.8" hidden="false" customHeight="false" outlineLevel="0" collapsed="false">
      <c r="A73" s="3" t="n">
        <v>45499.9576388889</v>
      </c>
      <c r="B73" s="1" t="s">
        <v>227</v>
      </c>
      <c r="C73" s="1" t="s">
        <v>228</v>
      </c>
      <c r="D73" s="4" t="s">
        <v>229</v>
      </c>
      <c r="E73" s="1" t="s">
        <v>21</v>
      </c>
      <c r="F73" s="1" t="s">
        <v>13</v>
      </c>
      <c r="G73" s="1" t="str">
        <f aca="false">TEXT(A73,"YYYY-MM-DD")</f>
        <v>2024-07-26</v>
      </c>
      <c r="H73" s="1" t="str">
        <f aca="false">TEXT(A73,"HH:MM")</f>
        <v>22:59</v>
      </c>
      <c r="I73" s="0" t="str">
        <f aca="false">IFERROR(VLOOKUP(C73,threat_intelligence!A:B,2,0),"CLEAN")</f>
        <v>CLEAN</v>
      </c>
    </row>
    <row r="74" customFormat="false" ht="12.8" hidden="false" customHeight="false" outlineLevel="0" collapsed="false">
      <c r="A74" s="3" t="n">
        <v>45499.4180555556</v>
      </c>
      <c r="B74" s="1" t="s">
        <v>230</v>
      </c>
      <c r="C74" s="1" t="s">
        <v>231</v>
      </c>
      <c r="D74" s="4" t="s">
        <v>232</v>
      </c>
      <c r="E74" s="1" t="s">
        <v>21</v>
      </c>
      <c r="F74" s="1" t="s">
        <v>25</v>
      </c>
      <c r="G74" s="1" t="str">
        <f aca="false">TEXT(A74,"YYYY-MM-DD")</f>
        <v>2024-07-26</v>
      </c>
      <c r="H74" s="1" t="str">
        <f aca="false">TEXT(A74,"HH:MM")</f>
        <v>10:02</v>
      </c>
      <c r="I74" s="0" t="str">
        <f aca="false">IFERROR(VLOOKUP(C74,threat_intelligence!A:B,2,0),"CLEAN")</f>
        <v>CLEAN</v>
      </c>
    </row>
    <row r="75" customFormat="false" ht="12.8" hidden="false" customHeight="false" outlineLevel="0" collapsed="false">
      <c r="A75" s="3" t="n">
        <v>45500.0520833333</v>
      </c>
      <c r="B75" s="1" t="s">
        <v>233</v>
      </c>
      <c r="C75" s="1" t="s">
        <v>234</v>
      </c>
      <c r="D75" s="4" t="s">
        <v>235</v>
      </c>
      <c r="E75" s="1" t="s">
        <v>12</v>
      </c>
      <c r="F75" s="1" t="s">
        <v>13</v>
      </c>
      <c r="G75" s="1" t="str">
        <f aca="false">TEXT(A75,"YYYY-MM-DD")</f>
        <v>2024-07-27</v>
      </c>
      <c r="H75" s="1" t="str">
        <f aca="false">TEXT(A75,"HH:MM")</f>
        <v>01:15</v>
      </c>
      <c r="I75" s="0" t="str">
        <f aca="false">IFERROR(VLOOKUP(C75,threat_intelligence!A:B,2,0),"CLEAN")</f>
        <v>CLEAN</v>
      </c>
    </row>
    <row r="76" customFormat="false" ht="12.8" hidden="false" customHeight="false" outlineLevel="0" collapsed="false">
      <c r="A76" s="3" t="n">
        <v>45500.3326388889</v>
      </c>
      <c r="B76" s="1" t="s">
        <v>236</v>
      </c>
      <c r="C76" s="1" t="s">
        <v>237</v>
      </c>
      <c r="D76" s="4" t="s">
        <v>238</v>
      </c>
      <c r="E76" s="1" t="s">
        <v>21</v>
      </c>
      <c r="F76" s="1" t="s">
        <v>25</v>
      </c>
      <c r="G76" s="1" t="str">
        <f aca="false">TEXT(A76,"YYYY-MM-DD")</f>
        <v>2024-07-27</v>
      </c>
      <c r="H76" s="1" t="str">
        <f aca="false">TEXT(A76,"HH:MM")</f>
        <v>07:59</v>
      </c>
      <c r="I76" s="0" t="str">
        <f aca="false">IFERROR(VLOOKUP(C76,threat_intelligence!A:B,2,0),"CLEAN")</f>
        <v>CLEAN</v>
      </c>
    </row>
    <row r="77" customFormat="false" ht="12.8" hidden="false" customHeight="false" outlineLevel="0" collapsed="false">
      <c r="A77" s="3" t="n">
        <v>45499.5680555556</v>
      </c>
      <c r="B77" s="1" t="s">
        <v>239</v>
      </c>
      <c r="C77" s="1" t="s">
        <v>240</v>
      </c>
      <c r="D77" s="4" t="s">
        <v>241</v>
      </c>
      <c r="E77" s="1" t="s">
        <v>17</v>
      </c>
      <c r="F77" s="1" t="s">
        <v>13</v>
      </c>
      <c r="G77" s="1" t="str">
        <f aca="false">TEXT(A77,"YYYY-MM-DD")</f>
        <v>2024-07-26</v>
      </c>
      <c r="H77" s="1" t="str">
        <f aca="false">TEXT(A77,"HH:MM")</f>
        <v>13:38</v>
      </c>
      <c r="I77" s="0" t="str">
        <f aca="false">IFERROR(VLOOKUP(C77,threat_intelligence!A:B,2,0),"CLEAN")</f>
        <v>CLEAN</v>
      </c>
    </row>
    <row r="78" customFormat="false" ht="12.8" hidden="false" customHeight="false" outlineLevel="0" collapsed="false">
      <c r="A78" s="3" t="n">
        <v>45499.8909722222</v>
      </c>
      <c r="B78" s="1" t="s">
        <v>242</v>
      </c>
      <c r="C78" s="1" t="s">
        <v>243</v>
      </c>
      <c r="D78" s="4" t="s">
        <v>244</v>
      </c>
      <c r="E78" s="1" t="s">
        <v>12</v>
      </c>
      <c r="F78" s="1" t="s">
        <v>25</v>
      </c>
      <c r="G78" s="1" t="str">
        <f aca="false">TEXT(A78,"YYYY-MM-DD")</f>
        <v>2024-07-26</v>
      </c>
      <c r="H78" s="1" t="str">
        <f aca="false">TEXT(A78,"HH:MM")</f>
        <v>21:23</v>
      </c>
      <c r="I78" s="0" t="str">
        <f aca="false">IFERROR(VLOOKUP(C78,threat_intelligence!A:B,2,0),"CLEAN")</f>
        <v>CLEAN</v>
      </c>
    </row>
    <row r="79" customFormat="false" ht="12.8" hidden="false" customHeight="false" outlineLevel="0" collapsed="false">
      <c r="A79" s="3" t="n">
        <v>45500.3027777778</v>
      </c>
      <c r="B79" s="1" t="s">
        <v>245</v>
      </c>
      <c r="C79" s="1" t="s">
        <v>246</v>
      </c>
      <c r="D79" s="4" t="s">
        <v>247</v>
      </c>
      <c r="E79" s="1" t="s">
        <v>12</v>
      </c>
      <c r="F79" s="1" t="s">
        <v>25</v>
      </c>
      <c r="G79" s="1" t="str">
        <f aca="false">TEXT(A79,"YYYY-MM-DD")</f>
        <v>2024-07-27</v>
      </c>
      <c r="H79" s="1" t="str">
        <f aca="false">TEXT(A79,"HH:MM")</f>
        <v>07:16</v>
      </c>
      <c r="I79" s="0" t="str">
        <f aca="false">IFERROR(VLOOKUP(C79,threat_intelligence!A:B,2,0),"CLEAN")</f>
        <v>CLEAN</v>
      </c>
    </row>
    <row r="80" customFormat="false" ht="12.8" hidden="false" customHeight="false" outlineLevel="0" collapsed="false">
      <c r="A80" s="3" t="n">
        <v>45499.4986111111</v>
      </c>
      <c r="B80" s="1" t="s">
        <v>248</v>
      </c>
      <c r="C80" s="1" t="s">
        <v>249</v>
      </c>
      <c r="D80" s="4" t="s">
        <v>250</v>
      </c>
      <c r="E80" s="1" t="s">
        <v>12</v>
      </c>
      <c r="F80" s="1" t="s">
        <v>13</v>
      </c>
      <c r="G80" s="1" t="str">
        <f aca="false">TEXT(A80,"YYYY-MM-DD")</f>
        <v>2024-07-26</v>
      </c>
      <c r="H80" s="1" t="str">
        <f aca="false">TEXT(A80,"HH:MM")</f>
        <v>11:58</v>
      </c>
      <c r="I80" s="0" t="str">
        <f aca="false">IFERROR(VLOOKUP(C80,threat_intelligence!A:B,2,0),"CLEAN")</f>
        <v>CLEAN</v>
      </c>
    </row>
    <row r="81" customFormat="false" ht="12.8" hidden="false" customHeight="false" outlineLevel="0" collapsed="false">
      <c r="A81" s="3" t="n">
        <v>45499.5097222222</v>
      </c>
      <c r="B81" s="1" t="s">
        <v>251</v>
      </c>
      <c r="C81" s="1" t="s">
        <v>252</v>
      </c>
      <c r="D81" s="4" t="s">
        <v>253</v>
      </c>
      <c r="E81" s="1" t="s">
        <v>12</v>
      </c>
      <c r="F81" s="1" t="s">
        <v>25</v>
      </c>
      <c r="G81" s="1" t="str">
        <f aca="false">TEXT(A81,"YYYY-MM-DD")</f>
        <v>2024-07-26</v>
      </c>
      <c r="H81" s="1" t="str">
        <f aca="false">TEXT(A81,"HH:MM")</f>
        <v>12:14</v>
      </c>
      <c r="I81" s="0" t="str">
        <f aca="false">IFERROR(VLOOKUP(C81,threat_intelligence!A:B,2,0),"CLEAN")</f>
        <v>CLEAN</v>
      </c>
    </row>
    <row r="82" customFormat="false" ht="12.8" hidden="false" customHeight="false" outlineLevel="0" collapsed="false">
      <c r="A82" s="3" t="n">
        <v>45500.1805555556</v>
      </c>
      <c r="B82" s="1" t="s">
        <v>254</v>
      </c>
      <c r="C82" s="1" t="s">
        <v>255</v>
      </c>
      <c r="D82" s="4" t="s">
        <v>256</v>
      </c>
      <c r="E82" s="1" t="s">
        <v>21</v>
      </c>
      <c r="F82" s="1" t="s">
        <v>25</v>
      </c>
      <c r="G82" s="1" t="str">
        <f aca="false">TEXT(A82,"YYYY-MM-DD")</f>
        <v>2024-07-27</v>
      </c>
      <c r="H82" s="1" t="str">
        <f aca="false">TEXT(A82,"HH:MM")</f>
        <v>04:20</v>
      </c>
      <c r="I82" s="0" t="str">
        <f aca="false">IFERROR(VLOOKUP(C82,threat_intelligence!A:B,2,0),"CLEAN")</f>
        <v>CLEAN</v>
      </c>
    </row>
    <row r="83" customFormat="false" ht="12.8" hidden="false" customHeight="false" outlineLevel="0" collapsed="false">
      <c r="A83" s="3" t="n">
        <v>45500.2236111111</v>
      </c>
      <c r="B83" s="1" t="s">
        <v>257</v>
      </c>
      <c r="C83" s="1" t="s">
        <v>258</v>
      </c>
      <c r="D83" s="4" t="s">
        <v>259</v>
      </c>
      <c r="E83" s="1" t="s">
        <v>17</v>
      </c>
      <c r="F83" s="1" t="s">
        <v>25</v>
      </c>
      <c r="G83" s="1" t="str">
        <f aca="false">TEXT(A83,"YYYY-MM-DD")</f>
        <v>2024-07-27</v>
      </c>
      <c r="H83" s="1" t="str">
        <f aca="false">TEXT(A83,"HH:MM")</f>
        <v>05:22</v>
      </c>
      <c r="I83" s="0" t="str">
        <f aca="false">IFERROR(VLOOKUP(C83,threat_intelligence!A:B,2,0),"CLEAN")</f>
        <v>CLEAN</v>
      </c>
    </row>
    <row r="84" customFormat="false" ht="12.8" hidden="false" customHeight="false" outlineLevel="0" collapsed="false">
      <c r="A84" s="3" t="n">
        <v>45500.1875</v>
      </c>
      <c r="B84" s="1" t="s">
        <v>260</v>
      </c>
      <c r="C84" s="1" t="s">
        <v>261</v>
      </c>
      <c r="D84" s="4" t="s">
        <v>262</v>
      </c>
      <c r="E84" s="1" t="s">
        <v>17</v>
      </c>
      <c r="F84" s="1" t="s">
        <v>25</v>
      </c>
      <c r="G84" s="1" t="str">
        <f aca="false">TEXT(A84,"YYYY-MM-DD")</f>
        <v>2024-07-27</v>
      </c>
      <c r="H84" s="1" t="str">
        <f aca="false">TEXT(A84,"HH:MM")</f>
        <v>04:30</v>
      </c>
      <c r="I84" s="0" t="str">
        <f aca="false">IFERROR(VLOOKUP(C84,threat_intelligence!A:B,2,0),"CLEAN")</f>
        <v>CLEAN</v>
      </c>
    </row>
    <row r="85" customFormat="false" ht="12.8" hidden="false" customHeight="false" outlineLevel="0" collapsed="false">
      <c r="A85" s="3" t="n">
        <v>45499.7784722222</v>
      </c>
      <c r="B85" s="1" t="s">
        <v>263</v>
      </c>
      <c r="C85" s="1" t="s">
        <v>264</v>
      </c>
      <c r="D85" s="4" t="s">
        <v>265</v>
      </c>
      <c r="E85" s="1" t="s">
        <v>12</v>
      </c>
      <c r="F85" s="1" t="s">
        <v>25</v>
      </c>
      <c r="G85" s="1" t="str">
        <f aca="false">TEXT(A85,"YYYY-MM-DD")</f>
        <v>2024-07-26</v>
      </c>
      <c r="H85" s="1" t="str">
        <f aca="false">TEXT(A85,"HH:MM")</f>
        <v>18:41</v>
      </c>
      <c r="I85" s="0" t="str">
        <f aca="false">IFERROR(VLOOKUP(C85,threat_intelligence!A:B,2,0),"CLEAN")</f>
        <v>CLEAN</v>
      </c>
    </row>
    <row r="86" customFormat="false" ht="12.8" hidden="false" customHeight="false" outlineLevel="0" collapsed="false">
      <c r="A86" s="3" t="n">
        <v>45499.8791666667</v>
      </c>
      <c r="B86" s="1" t="s">
        <v>266</v>
      </c>
      <c r="C86" s="1" t="s">
        <v>267</v>
      </c>
      <c r="D86" s="4" t="s">
        <v>268</v>
      </c>
      <c r="E86" s="1" t="s">
        <v>17</v>
      </c>
      <c r="F86" s="1" t="s">
        <v>25</v>
      </c>
      <c r="G86" s="1" t="str">
        <f aca="false">TEXT(A86,"YYYY-MM-DD")</f>
        <v>2024-07-26</v>
      </c>
      <c r="H86" s="1" t="str">
        <f aca="false">TEXT(A86,"HH:MM")</f>
        <v>21:06</v>
      </c>
      <c r="I86" s="0" t="str">
        <f aca="false">IFERROR(VLOOKUP(C86,threat_intelligence!A:B,2,0),"CLEAN")</f>
        <v>CLEAN</v>
      </c>
    </row>
    <row r="87" customFormat="false" ht="12.8" hidden="false" customHeight="false" outlineLevel="0" collapsed="false">
      <c r="A87" s="3" t="n">
        <v>45499.5020833333</v>
      </c>
      <c r="B87" s="1" t="s">
        <v>269</v>
      </c>
      <c r="C87" s="1" t="s">
        <v>270</v>
      </c>
      <c r="D87" s="4" t="s">
        <v>271</v>
      </c>
      <c r="E87" s="1" t="s">
        <v>17</v>
      </c>
      <c r="F87" s="1" t="s">
        <v>13</v>
      </c>
      <c r="G87" s="1" t="str">
        <f aca="false">TEXT(A87,"YYYY-MM-DD")</f>
        <v>2024-07-26</v>
      </c>
      <c r="H87" s="1" t="str">
        <f aca="false">TEXT(A87,"HH:MM")</f>
        <v>12:03</v>
      </c>
      <c r="I87" s="0" t="str">
        <f aca="false">IFERROR(VLOOKUP(C87,threat_intelligence!A:B,2,0),"CLEAN")</f>
        <v>CLEAN</v>
      </c>
    </row>
    <row r="88" customFormat="false" ht="12.8" hidden="false" customHeight="false" outlineLevel="0" collapsed="false">
      <c r="A88" s="3" t="n">
        <v>45499.5590277778</v>
      </c>
      <c r="B88" s="1" t="s">
        <v>272</v>
      </c>
      <c r="C88" s="1" t="s">
        <v>273</v>
      </c>
      <c r="D88" s="4" t="s">
        <v>274</v>
      </c>
      <c r="E88" s="1" t="s">
        <v>17</v>
      </c>
      <c r="F88" s="1" t="s">
        <v>13</v>
      </c>
      <c r="G88" s="1" t="str">
        <f aca="false">TEXT(A88,"YYYY-MM-DD")</f>
        <v>2024-07-26</v>
      </c>
      <c r="H88" s="1" t="str">
        <f aca="false">TEXT(A88,"HH:MM")</f>
        <v>13:25</v>
      </c>
      <c r="I88" s="0" t="str">
        <f aca="false">IFERROR(VLOOKUP(C88,threat_intelligence!A:B,2,0),"CLEAN")</f>
        <v>CLEAN</v>
      </c>
    </row>
    <row r="89" customFormat="false" ht="12.8" hidden="false" customHeight="false" outlineLevel="0" collapsed="false">
      <c r="A89" s="3" t="n">
        <v>45500.2138888889</v>
      </c>
      <c r="B89" s="1" t="s">
        <v>275</v>
      </c>
      <c r="C89" s="1" t="s">
        <v>276</v>
      </c>
      <c r="D89" s="4" t="s">
        <v>277</v>
      </c>
      <c r="E89" s="1" t="s">
        <v>12</v>
      </c>
      <c r="F89" s="1" t="s">
        <v>13</v>
      </c>
      <c r="G89" s="1" t="str">
        <f aca="false">TEXT(A89,"YYYY-MM-DD")</f>
        <v>2024-07-27</v>
      </c>
      <c r="H89" s="1" t="str">
        <f aca="false">TEXT(A89,"HH:MM")</f>
        <v>05:08</v>
      </c>
      <c r="I89" s="0" t="str">
        <f aca="false">IFERROR(VLOOKUP(C89,threat_intelligence!A:B,2,0),"CLEAN")</f>
        <v>CLEAN</v>
      </c>
    </row>
    <row r="90" customFormat="false" ht="12.8" hidden="false" customHeight="false" outlineLevel="0" collapsed="false">
      <c r="A90" s="3" t="n">
        <v>45499.8513888889</v>
      </c>
      <c r="B90" s="1" t="s">
        <v>278</v>
      </c>
      <c r="C90" s="1" t="s">
        <v>279</v>
      </c>
      <c r="D90" s="4" t="s">
        <v>280</v>
      </c>
      <c r="E90" s="1" t="s">
        <v>21</v>
      </c>
      <c r="F90" s="1" t="s">
        <v>13</v>
      </c>
      <c r="G90" s="1" t="str">
        <f aca="false">TEXT(A90,"YYYY-MM-DD")</f>
        <v>2024-07-26</v>
      </c>
      <c r="H90" s="1" t="str">
        <f aca="false">TEXT(A90,"HH:MM")</f>
        <v>20:26</v>
      </c>
      <c r="I90" s="0" t="str">
        <f aca="false">IFERROR(VLOOKUP(C90,threat_intelligence!A:B,2,0),"CLEAN")</f>
        <v>CLEAN</v>
      </c>
    </row>
    <row r="91" customFormat="false" ht="12.8" hidden="false" customHeight="false" outlineLevel="0" collapsed="false">
      <c r="A91" s="3" t="n">
        <v>45499.6958333333</v>
      </c>
      <c r="B91" s="1" t="s">
        <v>281</v>
      </c>
      <c r="C91" s="1" t="s">
        <v>282</v>
      </c>
      <c r="D91" s="4" t="s">
        <v>283</v>
      </c>
      <c r="E91" s="1" t="s">
        <v>21</v>
      </c>
      <c r="F91" s="1" t="s">
        <v>13</v>
      </c>
      <c r="G91" s="1" t="str">
        <f aca="false">TEXT(A91,"YYYY-MM-DD")</f>
        <v>2024-07-26</v>
      </c>
      <c r="H91" s="1" t="str">
        <f aca="false">TEXT(A91,"HH:MM")</f>
        <v>16:42</v>
      </c>
      <c r="I91" s="0" t="str">
        <f aca="false">IFERROR(VLOOKUP(C91,threat_intelligence!A:B,2,0),"CLEAN")</f>
        <v>CLEAN</v>
      </c>
    </row>
    <row r="92" customFormat="false" ht="12.8" hidden="false" customHeight="false" outlineLevel="0" collapsed="false">
      <c r="A92" s="3" t="n">
        <v>45500.1743055556</v>
      </c>
      <c r="B92" s="1" t="s">
        <v>284</v>
      </c>
      <c r="C92" s="1" t="s">
        <v>285</v>
      </c>
      <c r="D92" s="4" t="s">
        <v>286</v>
      </c>
      <c r="E92" s="1" t="s">
        <v>21</v>
      </c>
      <c r="F92" s="1" t="s">
        <v>25</v>
      </c>
      <c r="G92" s="1" t="str">
        <f aca="false">TEXT(A92,"YYYY-MM-DD")</f>
        <v>2024-07-27</v>
      </c>
      <c r="H92" s="1" t="str">
        <f aca="false">TEXT(A92,"HH:MM")</f>
        <v>04:11</v>
      </c>
      <c r="I92" s="0" t="str">
        <f aca="false">IFERROR(VLOOKUP(C92,threat_intelligence!A:B,2,0),"CLEAN")</f>
        <v>CLEAN</v>
      </c>
    </row>
    <row r="93" customFormat="false" ht="12.8" hidden="false" customHeight="false" outlineLevel="0" collapsed="false">
      <c r="A93" s="3" t="n">
        <v>45499.4208333333</v>
      </c>
      <c r="B93" s="1" t="s">
        <v>287</v>
      </c>
      <c r="C93" s="1" t="s">
        <v>288</v>
      </c>
      <c r="D93" s="4" t="s">
        <v>289</v>
      </c>
      <c r="E93" s="1" t="s">
        <v>12</v>
      </c>
      <c r="F93" s="1" t="s">
        <v>25</v>
      </c>
      <c r="G93" s="1" t="str">
        <f aca="false">TEXT(A93,"YYYY-MM-DD")</f>
        <v>2024-07-26</v>
      </c>
      <c r="H93" s="1" t="str">
        <f aca="false">TEXT(A93,"HH:MM")</f>
        <v>10:06</v>
      </c>
      <c r="I93" s="0" t="str">
        <f aca="false">IFERROR(VLOOKUP(C93,threat_intelligence!A:B,2,0),"CLEAN")</f>
        <v>CLEAN</v>
      </c>
    </row>
    <row r="94" customFormat="false" ht="12.8" hidden="false" customHeight="false" outlineLevel="0" collapsed="false">
      <c r="A94" s="3" t="n">
        <v>45499.48125</v>
      </c>
      <c r="B94" s="1" t="s">
        <v>290</v>
      </c>
      <c r="C94" s="1" t="s">
        <v>291</v>
      </c>
      <c r="D94" s="4" t="s">
        <v>292</v>
      </c>
      <c r="E94" s="1" t="s">
        <v>17</v>
      </c>
      <c r="F94" s="1" t="s">
        <v>13</v>
      </c>
      <c r="G94" s="1" t="str">
        <f aca="false">TEXT(A94,"YYYY-MM-DD")</f>
        <v>2024-07-26</v>
      </c>
      <c r="H94" s="1" t="str">
        <f aca="false">TEXT(A94,"HH:MM")</f>
        <v>11:33</v>
      </c>
      <c r="I94" s="0" t="str">
        <f aca="false">IFERROR(VLOOKUP(C94,threat_intelligence!A:B,2,0),"CLEAN")</f>
        <v>CLEAN</v>
      </c>
    </row>
    <row r="95" customFormat="false" ht="12.8" hidden="false" customHeight="false" outlineLevel="0" collapsed="false">
      <c r="A95" s="3" t="n">
        <v>45500.2319444444</v>
      </c>
      <c r="B95" s="1" t="s">
        <v>293</v>
      </c>
      <c r="C95" s="1" t="s">
        <v>294</v>
      </c>
      <c r="D95" s="4" t="s">
        <v>295</v>
      </c>
      <c r="E95" s="1" t="s">
        <v>21</v>
      </c>
      <c r="F95" s="1" t="s">
        <v>13</v>
      </c>
      <c r="G95" s="1" t="str">
        <f aca="false">TEXT(A95,"YYYY-MM-DD")</f>
        <v>2024-07-27</v>
      </c>
      <c r="H95" s="1" t="str">
        <f aca="false">TEXT(A95,"HH:MM")</f>
        <v>05:34</v>
      </c>
      <c r="I95" s="0" t="str">
        <f aca="false">IFERROR(VLOOKUP(C95,threat_intelligence!A:B,2,0),"CLEAN")</f>
        <v>CLEAN</v>
      </c>
    </row>
    <row r="96" customFormat="false" ht="12.8" hidden="false" customHeight="false" outlineLevel="0" collapsed="false">
      <c r="A96" s="3" t="n">
        <v>45499.6756944444</v>
      </c>
      <c r="B96" s="1" t="s">
        <v>296</v>
      </c>
      <c r="C96" s="1" t="s">
        <v>297</v>
      </c>
      <c r="D96" s="4" t="s">
        <v>298</v>
      </c>
      <c r="E96" s="1" t="s">
        <v>12</v>
      </c>
      <c r="F96" s="1" t="s">
        <v>25</v>
      </c>
      <c r="G96" s="1" t="str">
        <f aca="false">TEXT(A96,"YYYY-MM-DD")</f>
        <v>2024-07-26</v>
      </c>
      <c r="H96" s="1" t="str">
        <f aca="false">TEXT(A96,"HH:MM")</f>
        <v>16:13</v>
      </c>
      <c r="I96" s="0" t="str">
        <f aca="false">IFERROR(VLOOKUP(C96,threat_intelligence!A:B,2,0),"CLEAN")</f>
        <v>CLEAN</v>
      </c>
    </row>
    <row r="97" customFormat="false" ht="12.8" hidden="false" customHeight="false" outlineLevel="0" collapsed="false">
      <c r="A97" s="3" t="n">
        <v>45500.3</v>
      </c>
      <c r="B97" s="1" t="s">
        <v>299</v>
      </c>
      <c r="C97" s="1" t="s">
        <v>300</v>
      </c>
      <c r="D97" s="4" t="s">
        <v>301</v>
      </c>
      <c r="E97" s="1" t="s">
        <v>17</v>
      </c>
      <c r="F97" s="1" t="s">
        <v>25</v>
      </c>
      <c r="G97" s="1" t="str">
        <f aca="false">TEXT(A97,"YYYY-MM-DD")</f>
        <v>2024-07-27</v>
      </c>
      <c r="H97" s="1" t="str">
        <f aca="false">TEXT(A97,"HH:MM")</f>
        <v>07:12</v>
      </c>
      <c r="I97" s="0" t="str">
        <f aca="false">IFERROR(VLOOKUP(C97,threat_intelligence!A:B,2,0),"CLEAN")</f>
        <v>CLEAN</v>
      </c>
    </row>
    <row r="98" customFormat="false" ht="12.8" hidden="false" customHeight="false" outlineLevel="0" collapsed="false">
      <c r="A98" s="3" t="n">
        <v>45499.3916666667</v>
      </c>
      <c r="B98" s="1" t="s">
        <v>302</v>
      </c>
      <c r="C98" s="1" t="s">
        <v>303</v>
      </c>
      <c r="D98" s="4" t="s">
        <v>304</v>
      </c>
      <c r="E98" s="1" t="s">
        <v>12</v>
      </c>
      <c r="F98" s="1" t="s">
        <v>25</v>
      </c>
      <c r="G98" s="1" t="str">
        <f aca="false">TEXT(A98,"YYYY-MM-DD")</f>
        <v>2024-07-26</v>
      </c>
      <c r="H98" s="1" t="str">
        <f aca="false">TEXT(A98,"HH:MM")</f>
        <v>09:24</v>
      </c>
      <c r="I98" s="0" t="str">
        <f aca="false">IFERROR(VLOOKUP(C98,threat_intelligence!A:B,2,0),"CLEAN")</f>
        <v>CLEAN</v>
      </c>
    </row>
    <row r="99" customFormat="false" ht="12.8" hidden="false" customHeight="false" outlineLevel="0" collapsed="false">
      <c r="A99" s="3" t="n">
        <v>45499.6548611111</v>
      </c>
      <c r="B99" s="1" t="s">
        <v>305</v>
      </c>
      <c r="C99" s="1" t="s">
        <v>306</v>
      </c>
      <c r="D99" s="4" t="s">
        <v>307</v>
      </c>
      <c r="E99" s="1" t="s">
        <v>12</v>
      </c>
      <c r="F99" s="1" t="s">
        <v>13</v>
      </c>
      <c r="G99" s="1" t="str">
        <f aca="false">TEXT(A99,"YYYY-MM-DD")</f>
        <v>2024-07-26</v>
      </c>
      <c r="H99" s="1" t="str">
        <f aca="false">TEXT(A99,"HH:MM")</f>
        <v>15:43</v>
      </c>
      <c r="I99" s="0" t="str">
        <f aca="false">IFERROR(VLOOKUP(C99,threat_intelligence!A:B,2,0),"CLEAN")</f>
        <v>CLEAN</v>
      </c>
    </row>
    <row r="100" customFormat="false" ht="12.8" hidden="false" customHeight="false" outlineLevel="0" collapsed="false">
      <c r="A100" s="3" t="n">
        <v>45499.45625</v>
      </c>
      <c r="B100" s="1" t="s">
        <v>308</v>
      </c>
      <c r="C100" s="1" t="s">
        <v>309</v>
      </c>
      <c r="D100" s="4" t="s">
        <v>310</v>
      </c>
      <c r="E100" s="1" t="s">
        <v>17</v>
      </c>
      <c r="F100" s="1" t="s">
        <v>25</v>
      </c>
      <c r="G100" s="1" t="str">
        <f aca="false">TEXT(A100,"YYYY-MM-DD")</f>
        <v>2024-07-26</v>
      </c>
      <c r="H100" s="1" t="str">
        <f aca="false">TEXT(A100,"HH:MM")</f>
        <v>10:57</v>
      </c>
      <c r="I100" s="0" t="str">
        <f aca="false">IFERROR(VLOOKUP(C100,threat_intelligence!A:B,2,0),"CLEAN")</f>
        <v>CLEAN</v>
      </c>
    </row>
    <row r="101" customFormat="false" ht="12.8" hidden="false" customHeight="false" outlineLevel="0" collapsed="false">
      <c r="A101" s="3" t="n">
        <v>45499.6388888889</v>
      </c>
      <c r="B101" s="1" t="s">
        <v>311</v>
      </c>
      <c r="C101" s="1" t="s">
        <v>312</v>
      </c>
      <c r="D101" s="4" t="s">
        <v>313</v>
      </c>
      <c r="E101" s="1" t="s">
        <v>21</v>
      </c>
      <c r="F101" s="1" t="s">
        <v>25</v>
      </c>
      <c r="G101" s="1" t="str">
        <f aca="false">TEXT(A101,"YYYY-MM-DD")</f>
        <v>2024-07-26</v>
      </c>
      <c r="H101" s="1" t="str">
        <f aca="false">TEXT(A101,"HH:MM")</f>
        <v>15:20</v>
      </c>
      <c r="I101" s="0" t="str">
        <f aca="false">IFERROR(VLOOKUP(C101,threat_intelligence!A:B,2,0),"CLEAN")</f>
        <v>CLEAN</v>
      </c>
    </row>
    <row r="102" customFormat="false" ht="12.8" hidden="false" customHeight="false" outlineLevel="0" collapsed="false">
      <c r="A102" s="3" t="n">
        <v>45500.2208333333</v>
      </c>
      <c r="B102" s="1" t="s">
        <v>314</v>
      </c>
      <c r="C102" s="1" t="s">
        <v>315</v>
      </c>
      <c r="D102" s="4" t="s">
        <v>316</v>
      </c>
      <c r="E102" s="1" t="s">
        <v>21</v>
      </c>
      <c r="F102" s="1" t="s">
        <v>25</v>
      </c>
      <c r="G102" s="1" t="str">
        <f aca="false">TEXT(A102,"YYYY-MM-DD")</f>
        <v>2024-07-27</v>
      </c>
      <c r="H102" s="1" t="str">
        <f aca="false">TEXT(A102,"HH:MM")</f>
        <v>05:18</v>
      </c>
      <c r="I102" s="0" t="str">
        <f aca="false">IFERROR(VLOOKUP(C102,threat_intelligence!A:B,2,0),"CLEAN")</f>
        <v>CLEAN</v>
      </c>
    </row>
    <row r="103" customFormat="false" ht="12.8" hidden="false" customHeight="false" outlineLevel="0" collapsed="false">
      <c r="A103" s="3" t="n">
        <v>45500.0666666667</v>
      </c>
      <c r="B103" s="1" t="s">
        <v>317</v>
      </c>
      <c r="C103" s="1" t="s">
        <v>318</v>
      </c>
      <c r="D103" s="4" t="s">
        <v>319</v>
      </c>
      <c r="E103" s="1" t="s">
        <v>21</v>
      </c>
      <c r="F103" s="1" t="s">
        <v>25</v>
      </c>
      <c r="G103" s="1" t="str">
        <f aca="false">TEXT(A103,"YYYY-MM-DD")</f>
        <v>2024-07-27</v>
      </c>
      <c r="H103" s="1" t="str">
        <f aca="false">TEXT(A103,"HH:MM")</f>
        <v>01:36</v>
      </c>
      <c r="I103" s="0" t="str">
        <f aca="false">IFERROR(VLOOKUP(C103,threat_intelligence!A:B,2,0),"CLEAN")</f>
        <v>CLEAN</v>
      </c>
    </row>
    <row r="104" customFormat="false" ht="12.8" hidden="false" customHeight="false" outlineLevel="0" collapsed="false">
      <c r="A104" s="3" t="n">
        <v>45500.1069444444</v>
      </c>
      <c r="B104" s="1" t="s">
        <v>320</v>
      </c>
      <c r="C104" s="1" t="s">
        <v>321</v>
      </c>
      <c r="D104" s="4" t="s">
        <v>322</v>
      </c>
      <c r="E104" s="1" t="s">
        <v>21</v>
      </c>
      <c r="F104" s="1" t="s">
        <v>25</v>
      </c>
      <c r="G104" s="1" t="str">
        <f aca="false">TEXT(A104,"YYYY-MM-DD")</f>
        <v>2024-07-27</v>
      </c>
      <c r="H104" s="1" t="str">
        <f aca="false">TEXT(A104,"HH:MM")</f>
        <v>02:34</v>
      </c>
      <c r="I104" s="0" t="str">
        <f aca="false">IFERROR(VLOOKUP(C104,threat_intelligence!A:B,2,0),"CLEAN")</f>
        <v>CLEAN</v>
      </c>
    </row>
    <row r="105" customFormat="false" ht="12.8" hidden="false" customHeight="false" outlineLevel="0" collapsed="false">
      <c r="A105" s="3" t="n">
        <v>45500.2868055556</v>
      </c>
      <c r="B105" s="1" t="s">
        <v>323</v>
      </c>
      <c r="C105" s="1" t="s">
        <v>324</v>
      </c>
      <c r="D105" s="4" t="s">
        <v>325</v>
      </c>
      <c r="E105" s="1" t="s">
        <v>21</v>
      </c>
      <c r="F105" s="1" t="s">
        <v>13</v>
      </c>
      <c r="G105" s="1" t="str">
        <f aca="false">TEXT(A105,"YYYY-MM-DD")</f>
        <v>2024-07-27</v>
      </c>
      <c r="H105" s="1" t="str">
        <f aca="false">TEXT(A105,"HH:MM")</f>
        <v>06:53</v>
      </c>
      <c r="I105" s="0" t="str">
        <f aca="false">IFERROR(VLOOKUP(C105,threat_intelligence!A:B,2,0),"CLEAN")</f>
        <v>CLEAN</v>
      </c>
    </row>
    <row r="106" customFormat="false" ht="12.8" hidden="false" customHeight="false" outlineLevel="0" collapsed="false">
      <c r="A106" s="3" t="n">
        <v>45499.3902777778</v>
      </c>
      <c r="B106" s="1" t="s">
        <v>326</v>
      </c>
      <c r="C106" s="1" t="s">
        <v>327</v>
      </c>
      <c r="D106" s="4" t="s">
        <v>328</v>
      </c>
      <c r="E106" s="1" t="s">
        <v>17</v>
      </c>
      <c r="F106" s="1" t="s">
        <v>13</v>
      </c>
      <c r="G106" s="1" t="str">
        <f aca="false">TEXT(A106,"YYYY-MM-DD")</f>
        <v>2024-07-26</v>
      </c>
      <c r="H106" s="1" t="str">
        <f aca="false">TEXT(A106,"HH:MM")</f>
        <v>09:22</v>
      </c>
      <c r="I106" s="0" t="str">
        <f aca="false">IFERROR(VLOOKUP(C106,threat_intelligence!A:B,2,0),"CLEAN")</f>
        <v>CLEAN</v>
      </c>
    </row>
    <row r="107" customFormat="false" ht="12.8" hidden="false" customHeight="false" outlineLevel="0" collapsed="false">
      <c r="A107" s="3" t="n">
        <v>45500.2895833333</v>
      </c>
      <c r="B107" s="1" t="s">
        <v>329</v>
      </c>
      <c r="C107" s="1" t="s">
        <v>330</v>
      </c>
      <c r="D107" s="4" t="s">
        <v>331</v>
      </c>
      <c r="E107" s="1" t="s">
        <v>12</v>
      </c>
      <c r="F107" s="1" t="s">
        <v>25</v>
      </c>
      <c r="G107" s="1" t="str">
        <f aca="false">TEXT(A107,"YYYY-MM-DD")</f>
        <v>2024-07-27</v>
      </c>
      <c r="H107" s="1" t="str">
        <f aca="false">TEXT(A107,"HH:MM")</f>
        <v>06:57</v>
      </c>
      <c r="I107" s="0" t="str">
        <f aca="false">IFERROR(VLOOKUP(C107,threat_intelligence!A:B,2,0),"CLEAN")</f>
        <v>CLEAN</v>
      </c>
    </row>
    <row r="108" customFormat="false" ht="12.8" hidden="false" customHeight="false" outlineLevel="0" collapsed="false">
      <c r="A108" s="3" t="n">
        <v>45500.1645833333</v>
      </c>
      <c r="B108" s="1" t="s">
        <v>332</v>
      </c>
      <c r="C108" s="1" t="s">
        <v>333</v>
      </c>
      <c r="D108" s="4" t="s">
        <v>334</v>
      </c>
      <c r="E108" s="1" t="s">
        <v>17</v>
      </c>
      <c r="F108" s="1" t="s">
        <v>13</v>
      </c>
      <c r="G108" s="1" t="str">
        <f aca="false">TEXT(A108,"YYYY-MM-DD")</f>
        <v>2024-07-27</v>
      </c>
      <c r="H108" s="1" t="str">
        <f aca="false">TEXT(A108,"HH:MM")</f>
        <v>03:57</v>
      </c>
      <c r="I108" s="0" t="str">
        <f aca="false">IFERROR(VLOOKUP(C108,threat_intelligence!A:B,2,0),"CLEAN")</f>
        <v>CLEAN</v>
      </c>
    </row>
    <row r="109" customFormat="false" ht="12.8" hidden="false" customHeight="false" outlineLevel="0" collapsed="false">
      <c r="A109" s="3" t="n">
        <v>45499.5888888889</v>
      </c>
      <c r="B109" s="1" t="s">
        <v>335</v>
      </c>
      <c r="C109" s="1" t="s">
        <v>336</v>
      </c>
      <c r="D109" s="4" t="s">
        <v>337</v>
      </c>
      <c r="E109" s="1" t="s">
        <v>21</v>
      </c>
      <c r="F109" s="1" t="s">
        <v>25</v>
      </c>
      <c r="G109" s="1" t="str">
        <f aca="false">TEXT(A109,"YYYY-MM-DD")</f>
        <v>2024-07-26</v>
      </c>
      <c r="H109" s="1" t="str">
        <f aca="false">TEXT(A109,"HH:MM")</f>
        <v>14:08</v>
      </c>
      <c r="I109" s="0" t="str">
        <f aca="false">IFERROR(VLOOKUP(C109,threat_intelligence!A:B,2,0),"CLEAN")</f>
        <v>CLEAN</v>
      </c>
    </row>
    <row r="110" customFormat="false" ht="12.8" hidden="false" customHeight="false" outlineLevel="0" collapsed="false">
      <c r="A110" s="3" t="n">
        <v>45499.9118055556</v>
      </c>
      <c r="B110" s="1" t="s">
        <v>338</v>
      </c>
      <c r="C110" s="1" t="s">
        <v>339</v>
      </c>
      <c r="D110" s="4" t="s">
        <v>340</v>
      </c>
      <c r="E110" s="1" t="s">
        <v>17</v>
      </c>
      <c r="F110" s="1" t="s">
        <v>25</v>
      </c>
      <c r="G110" s="1" t="str">
        <f aca="false">TEXT(A110,"YYYY-MM-DD")</f>
        <v>2024-07-26</v>
      </c>
      <c r="H110" s="1" t="str">
        <f aca="false">TEXT(A110,"HH:MM")</f>
        <v>21:53</v>
      </c>
      <c r="I110" s="0" t="str">
        <f aca="false">IFERROR(VLOOKUP(C110,threat_intelligence!A:B,2,0),"CLEAN")</f>
        <v>CLEAN</v>
      </c>
    </row>
    <row r="111" customFormat="false" ht="12.8" hidden="false" customHeight="false" outlineLevel="0" collapsed="false">
      <c r="A111" s="3" t="n">
        <v>45499.4034722222</v>
      </c>
      <c r="B111" s="1" t="s">
        <v>341</v>
      </c>
      <c r="C111" s="1" t="s">
        <v>342</v>
      </c>
      <c r="D111" s="4" t="s">
        <v>343</v>
      </c>
      <c r="E111" s="1" t="s">
        <v>12</v>
      </c>
      <c r="F111" s="1" t="s">
        <v>25</v>
      </c>
      <c r="G111" s="1" t="str">
        <f aca="false">TEXT(A111,"YYYY-MM-DD")</f>
        <v>2024-07-26</v>
      </c>
      <c r="H111" s="1" t="str">
        <f aca="false">TEXT(A111,"HH:MM")</f>
        <v>09:41</v>
      </c>
      <c r="I111" s="0" t="str">
        <f aca="false">IFERROR(VLOOKUP(C111,threat_intelligence!A:B,2,0),"CLEAN")</f>
        <v>CLEAN</v>
      </c>
    </row>
    <row r="112" customFormat="false" ht="12.8" hidden="false" customHeight="false" outlineLevel="0" collapsed="false">
      <c r="A112" s="3" t="n">
        <v>45499.7090277778</v>
      </c>
      <c r="B112" s="1" t="s">
        <v>344</v>
      </c>
      <c r="C112" s="1" t="s">
        <v>345</v>
      </c>
      <c r="D112" s="4" t="s">
        <v>346</v>
      </c>
      <c r="E112" s="1" t="s">
        <v>12</v>
      </c>
      <c r="F112" s="1" t="s">
        <v>13</v>
      </c>
      <c r="G112" s="1" t="str">
        <f aca="false">TEXT(A112,"YYYY-MM-DD")</f>
        <v>2024-07-26</v>
      </c>
      <c r="H112" s="1" t="str">
        <f aca="false">TEXT(A112,"HH:MM")</f>
        <v>17:01</v>
      </c>
      <c r="I112" s="0" t="str">
        <f aca="false">IFERROR(VLOOKUP(C112,threat_intelligence!A:B,2,0),"CLEAN")</f>
        <v>CLEAN</v>
      </c>
    </row>
    <row r="113" customFormat="false" ht="12.8" hidden="false" customHeight="false" outlineLevel="0" collapsed="false">
      <c r="A113" s="3" t="n">
        <v>45499.99375</v>
      </c>
      <c r="B113" s="1" t="s">
        <v>347</v>
      </c>
      <c r="C113" s="1" t="s">
        <v>348</v>
      </c>
      <c r="D113" s="4" t="s">
        <v>349</v>
      </c>
      <c r="E113" s="1" t="s">
        <v>17</v>
      </c>
      <c r="F113" s="1" t="s">
        <v>13</v>
      </c>
      <c r="G113" s="1" t="str">
        <f aca="false">TEXT(A113,"YYYY-MM-DD")</f>
        <v>2024-07-26</v>
      </c>
      <c r="H113" s="1" t="str">
        <f aca="false">TEXT(A113,"HH:MM")</f>
        <v>23:51</v>
      </c>
      <c r="I113" s="0" t="str">
        <f aca="false">IFERROR(VLOOKUP(C113,threat_intelligence!A:B,2,0),"CLEAN")</f>
        <v>CLEAN</v>
      </c>
    </row>
    <row r="114" customFormat="false" ht="12.8" hidden="false" customHeight="false" outlineLevel="0" collapsed="false">
      <c r="A114" s="3" t="n">
        <v>45499.9222222222</v>
      </c>
      <c r="B114" s="1" t="s">
        <v>350</v>
      </c>
      <c r="C114" s="1" t="s">
        <v>351</v>
      </c>
      <c r="D114" s="4" t="s">
        <v>352</v>
      </c>
      <c r="E114" s="1" t="s">
        <v>12</v>
      </c>
      <c r="F114" s="1" t="s">
        <v>25</v>
      </c>
      <c r="G114" s="1" t="str">
        <f aca="false">TEXT(A114,"YYYY-MM-DD")</f>
        <v>2024-07-26</v>
      </c>
      <c r="H114" s="1" t="str">
        <f aca="false">TEXT(A114,"HH:MM")</f>
        <v>22:08</v>
      </c>
      <c r="I114" s="0" t="str">
        <f aca="false">IFERROR(VLOOKUP(C114,threat_intelligence!A:B,2,0),"CLEAN")</f>
        <v>CLEAN</v>
      </c>
    </row>
    <row r="115" customFormat="false" ht="12.8" hidden="false" customHeight="false" outlineLevel="0" collapsed="false">
      <c r="A115" s="3" t="n">
        <v>45499.3736111111</v>
      </c>
      <c r="B115" s="1" t="s">
        <v>353</v>
      </c>
      <c r="C115" s="1" t="s">
        <v>354</v>
      </c>
      <c r="D115" s="4" t="s">
        <v>355</v>
      </c>
      <c r="E115" s="1" t="s">
        <v>17</v>
      </c>
      <c r="F115" s="1" t="s">
        <v>13</v>
      </c>
      <c r="G115" s="1" t="str">
        <f aca="false">TEXT(A115,"YYYY-MM-DD")</f>
        <v>2024-07-26</v>
      </c>
      <c r="H115" s="1" t="str">
        <f aca="false">TEXT(A115,"HH:MM")</f>
        <v>08:58</v>
      </c>
      <c r="I115" s="0" t="str">
        <f aca="false">IFERROR(VLOOKUP(C115,threat_intelligence!A:B,2,0),"CLEAN")</f>
        <v>CLEAN</v>
      </c>
    </row>
    <row r="116" customFormat="false" ht="12.8" hidden="false" customHeight="false" outlineLevel="0" collapsed="false">
      <c r="A116" s="3" t="n">
        <v>45499.59375</v>
      </c>
      <c r="B116" s="1" t="s">
        <v>356</v>
      </c>
      <c r="C116" s="1" t="s">
        <v>357</v>
      </c>
      <c r="D116" s="4" t="s">
        <v>358</v>
      </c>
      <c r="E116" s="1" t="s">
        <v>12</v>
      </c>
      <c r="F116" s="1" t="s">
        <v>25</v>
      </c>
      <c r="G116" s="1" t="str">
        <f aca="false">TEXT(A116,"YYYY-MM-DD")</f>
        <v>2024-07-26</v>
      </c>
      <c r="H116" s="1" t="str">
        <f aca="false">TEXT(A116,"HH:MM")</f>
        <v>14:15</v>
      </c>
      <c r="I116" s="0" t="str">
        <f aca="false">IFERROR(VLOOKUP(C116,threat_intelligence!A:B,2,0),"CLEAN")</f>
        <v>CLEAN</v>
      </c>
    </row>
    <row r="117" customFormat="false" ht="12.8" hidden="false" customHeight="false" outlineLevel="0" collapsed="false">
      <c r="A117" s="3" t="n">
        <v>45500.3208333333</v>
      </c>
      <c r="B117" s="1" t="s">
        <v>359</v>
      </c>
      <c r="C117" s="1" t="s">
        <v>360</v>
      </c>
      <c r="D117" s="4" t="s">
        <v>361</v>
      </c>
      <c r="E117" s="1" t="s">
        <v>17</v>
      </c>
      <c r="F117" s="1" t="s">
        <v>25</v>
      </c>
      <c r="G117" s="1" t="str">
        <f aca="false">TEXT(A117,"YYYY-MM-DD")</f>
        <v>2024-07-27</v>
      </c>
      <c r="H117" s="1" t="str">
        <f aca="false">TEXT(A117,"HH:MM")</f>
        <v>07:42</v>
      </c>
      <c r="I117" s="0" t="str">
        <f aca="false">IFERROR(VLOOKUP(C117,threat_intelligence!A:B,2,0),"CLEAN")</f>
        <v>CLEAN</v>
      </c>
    </row>
    <row r="118" customFormat="false" ht="12.8" hidden="false" customHeight="false" outlineLevel="0" collapsed="false">
      <c r="A118" s="3" t="n">
        <v>45499.8506944444</v>
      </c>
      <c r="B118" s="1" t="s">
        <v>362</v>
      </c>
      <c r="C118" s="1" t="s">
        <v>363</v>
      </c>
      <c r="D118" s="4" t="s">
        <v>364</v>
      </c>
      <c r="E118" s="1" t="s">
        <v>12</v>
      </c>
      <c r="F118" s="1" t="s">
        <v>13</v>
      </c>
      <c r="G118" s="1" t="str">
        <f aca="false">TEXT(A118,"YYYY-MM-DD")</f>
        <v>2024-07-26</v>
      </c>
      <c r="H118" s="1" t="str">
        <f aca="false">TEXT(A118,"HH:MM")</f>
        <v>20:25</v>
      </c>
      <c r="I118" s="0" t="str">
        <f aca="false">IFERROR(VLOOKUP(C118,threat_intelligence!A:B,2,0),"CLEAN")</f>
        <v>CLEAN</v>
      </c>
    </row>
    <row r="119" customFormat="false" ht="12.8" hidden="false" customHeight="false" outlineLevel="0" collapsed="false">
      <c r="A119" s="3" t="n">
        <v>45499.7423611111</v>
      </c>
      <c r="B119" s="1" t="s">
        <v>365</v>
      </c>
      <c r="C119" s="1" t="s">
        <v>366</v>
      </c>
      <c r="D119" s="4" t="s">
        <v>367</v>
      </c>
      <c r="E119" s="1" t="s">
        <v>21</v>
      </c>
      <c r="F119" s="1" t="s">
        <v>13</v>
      </c>
      <c r="G119" s="1" t="str">
        <f aca="false">TEXT(A119,"YYYY-MM-DD")</f>
        <v>2024-07-26</v>
      </c>
      <c r="H119" s="1" t="str">
        <f aca="false">TEXT(A119,"HH:MM")</f>
        <v>17:49</v>
      </c>
      <c r="I119" s="0" t="str">
        <f aca="false">IFERROR(VLOOKUP(C119,threat_intelligence!A:B,2,0),"CLEAN")</f>
        <v>CLEAN</v>
      </c>
    </row>
    <row r="120" customFormat="false" ht="12.8" hidden="false" customHeight="false" outlineLevel="0" collapsed="false">
      <c r="A120" s="3" t="n">
        <v>45499.9152777778</v>
      </c>
      <c r="B120" s="1" t="s">
        <v>368</v>
      </c>
      <c r="C120" s="1" t="s">
        <v>369</v>
      </c>
      <c r="D120" s="4" t="s">
        <v>370</v>
      </c>
      <c r="E120" s="1" t="s">
        <v>17</v>
      </c>
      <c r="F120" s="1" t="s">
        <v>25</v>
      </c>
      <c r="G120" s="1" t="str">
        <f aca="false">TEXT(A120,"YYYY-MM-DD")</f>
        <v>2024-07-26</v>
      </c>
      <c r="H120" s="1" t="str">
        <f aca="false">TEXT(A120,"HH:MM")</f>
        <v>21:58</v>
      </c>
      <c r="I120" s="0" t="str">
        <f aca="false">IFERROR(VLOOKUP(C120,threat_intelligence!A:B,2,0),"CLEAN")</f>
        <v>CLEAN</v>
      </c>
    </row>
    <row r="121" customFormat="false" ht="12.8" hidden="false" customHeight="false" outlineLevel="0" collapsed="false">
      <c r="A121" s="3" t="n">
        <v>45500.2229166667</v>
      </c>
      <c r="B121" s="1" t="s">
        <v>371</v>
      </c>
      <c r="C121" s="1" t="s">
        <v>372</v>
      </c>
      <c r="D121" s="4" t="s">
        <v>373</v>
      </c>
      <c r="E121" s="1" t="s">
        <v>21</v>
      </c>
      <c r="F121" s="1" t="s">
        <v>13</v>
      </c>
      <c r="G121" s="1" t="str">
        <f aca="false">TEXT(A121,"YYYY-MM-DD")</f>
        <v>2024-07-27</v>
      </c>
      <c r="H121" s="1" t="str">
        <f aca="false">TEXT(A121,"HH:MM")</f>
        <v>05:21</v>
      </c>
      <c r="I121" s="0" t="str">
        <f aca="false">IFERROR(VLOOKUP(C121,threat_intelligence!A:B,2,0),"CLEAN")</f>
        <v>CLEAN</v>
      </c>
    </row>
    <row r="122" customFormat="false" ht="12.8" hidden="false" customHeight="false" outlineLevel="0" collapsed="false">
      <c r="A122" s="3" t="n">
        <v>45499.8006944444</v>
      </c>
      <c r="B122" s="1" t="s">
        <v>374</v>
      </c>
      <c r="C122" s="1" t="s">
        <v>375</v>
      </c>
      <c r="D122" s="4" t="s">
        <v>376</v>
      </c>
      <c r="E122" s="1" t="s">
        <v>12</v>
      </c>
      <c r="F122" s="1" t="s">
        <v>13</v>
      </c>
      <c r="G122" s="1" t="str">
        <f aca="false">TEXT(A122,"YYYY-MM-DD")</f>
        <v>2024-07-26</v>
      </c>
      <c r="H122" s="1" t="str">
        <f aca="false">TEXT(A122,"HH:MM")</f>
        <v>19:13</v>
      </c>
      <c r="I122" s="0" t="str">
        <f aca="false">IFERROR(VLOOKUP(C122,threat_intelligence!A:B,2,0),"CLEAN")</f>
        <v>CLEAN</v>
      </c>
    </row>
    <row r="123" customFormat="false" ht="12.8" hidden="false" customHeight="false" outlineLevel="0" collapsed="false">
      <c r="A123" s="3" t="n">
        <v>45499.9333333333</v>
      </c>
      <c r="B123" s="1" t="s">
        <v>377</v>
      </c>
      <c r="C123" s="1" t="s">
        <v>378</v>
      </c>
      <c r="D123" s="4" t="s">
        <v>379</v>
      </c>
      <c r="E123" s="1" t="s">
        <v>17</v>
      </c>
      <c r="F123" s="1" t="s">
        <v>25</v>
      </c>
      <c r="G123" s="1" t="str">
        <f aca="false">TEXT(A123,"YYYY-MM-DD")</f>
        <v>2024-07-26</v>
      </c>
      <c r="H123" s="1" t="str">
        <f aca="false">TEXT(A123,"HH:MM")</f>
        <v>22:24</v>
      </c>
      <c r="I123" s="0" t="str">
        <f aca="false">IFERROR(VLOOKUP(C123,threat_intelligence!A:B,2,0),"CLEAN")</f>
        <v>CLEAN</v>
      </c>
    </row>
    <row r="124" customFormat="false" ht="12.8" hidden="false" customHeight="false" outlineLevel="0" collapsed="false">
      <c r="A124" s="3" t="n">
        <v>45499.4298611111</v>
      </c>
      <c r="B124" s="1" t="s">
        <v>380</v>
      </c>
      <c r="C124" s="1" t="s">
        <v>381</v>
      </c>
      <c r="D124" s="4" t="s">
        <v>382</v>
      </c>
      <c r="E124" s="1" t="s">
        <v>17</v>
      </c>
      <c r="F124" s="1" t="s">
        <v>13</v>
      </c>
      <c r="G124" s="1" t="str">
        <f aca="false">TEXT(A124,"YYYY-MM-DD")</f>
        <v>2024-07-26</v>
      </c>
      <c r="H124" s="1" t="str">
        <f aca="false">TEXT(A124,"HH:MM")</f>
        <v>10:19</v>
      </c>
      <c r="I124" s="0" t="str">
        <f aca="false">IFERROR(VLOOKUP(C124,threat_intelligence!A:B,2,0),"CLEAN")</f>
        <v>CLEAN</v>
      </c>
    </row>
    <row r="125" customFormat="false" ht="12.8" hidden="false" customHeight="false" outlineLevel="0" collapsed="false">
      <c r="A125" s="3" t="n">
        <v>45499.4979166667</v>
      </c>
      <c r="B125" s="1" t="s">
        <v>383</v>
      </c>
      <c r="C125" s="1" t="s">
        <v>384</v>
      </c>
      <c r="D125" s="4" t="s">
        <v>385</v>
      </c>
      <c r="E125" s="1" t="s">
        <v>21</v>
      </c>
      <c r="F125" s="1" t="s">
        <v>25</v>
      </c>
      <c r="G125" s="1" t="str">
        <f aca="false">TEXT(A125,"YYYY-MM-DD")</f>
        <v>2024-07-26</v>
      </c>
      <c r="H125" s="1" t="str">
        <f aca="false">TEXT(A125,"HH:MM")</f>
        <v>11:57</v>
      </c>
      <c r="I125" s="0" t="str">
        <f aca="false">IFERROR(VLOOKUP(C125,threat_intelligence!A:B,2,0),"CLEAN")</f>
        <v>CLEAN</v>
      </c>
    </row>
    <row r="126" customFormat="false" ht="12.8" hidden="false" customHeight="false" outlineLevel="0" collapsed="false">
      <c r="A126" s="3" t="n">
        <v>45499.3708333333</v>
      </c>
      <c r="B126" s="1" t="s">
        <v>386</v>
      </c>
      <c r="C126" s="1" t="s">
        <v>387</v>
      </c>
      <c r="D126" s="4" t="s">
        <v>388</v>
      </c>
      <c r="E126" s="1" t="s">
        <v>17</v>
      </c>
      <c r="F126" s="1" t="s">
        <v>13</v>
      </c>
      <c r="G126" s="1" t="str">
        <f aca="false">TEXT(A126,"YYYY-MM-DD")</f>
        <v>2024-07-26</v>
      </c>
      <c r="H126" s="1" t="str">
        <f aca="false">TEXT(A126,"HH:MM")</f>
        <v>08:54</v>
      </c>
      <c r="I126" s="0" t="str">
        <f aca="false">IFERROR(VLOOKUP(C126,threat_intelligence!A:B,2,0),"CLEAN")</f>
        <v>CLEAN</v>
      </c>
    </row>
    <row r="127" customFormat="false" ht="12.8" hidden="false" customHeight="false" outlineLevel="0" collapsed="false">
      <c r="A127" s="3" t="n">
        <v>45499.8208333333</v>
      </c>
      <c r="B127" s="1" t="s">
        <v>389</v>
      </c>
      <c r="C127" s="1" t="s">
        <v>390</v>
      </c>
      <c r="D127" s="4" t="s">
        <v>391</v>
      </c>
      <c r="E127" s="1" t="s">
        <v>12</v>
      </c>
      <c r="F127" s="1" t="s">
        <v>25</v>
      </c>
      <c r="G127" s="1" t="str">
        <f aca="false">TEXT(A127,"YYYY-MM-DD")</f>
        <v>2024-07-26</v>
      </c>
      <c r="H127" s="1" t="str">
        <f aca="false">TEXT(A127,"HH:MM")</f>
        <v>19:42</v>
      </c>
      <c r="I127" s="0" t="str">
        <f aca="false">IFERROR(VLOOKUP(C127,threat_intelligence!A:B,2,0),"CLEAN")</f>
        <v>CLEAN</v>
      </c>
    </row>
    <row r="128" customFormat="false" ht="12.8" hidden="false" customHeight="false" outlineLevel="0" collapsed="false">
      <c r="A128" s="3" t="n">
        <v>45499.5569444444</v>
      </c>
      <c r="B128" s="1" t="s">
        <v>392</v>
      </c>
      <c r="C128" s="1" t="s">
        <v>393</v>
      </c>
      <c r="D128" s="4" t="s">
        <v>394</v>
      </c>
      <c r="E128" s="1" t="s">
        <v>12</v>
      </c>
      <c r="F128" s="1" t="s">
        <v>13</v>
      </c>
      <c r="G128" s="1" t="str">
        <f aca="false">TEXT(A128,"YYYY-MM-DD")</f>
        <v>2024-07-26</v>
      </c>
      <c r="H128" s="1" t="str">
        <f aca="false">TEXT(A128,"HH:MM")</f>
        <v>13:22</v>
      </c>
      <c r="I128" s="0" t="str">
        <f aca="false">IFERROR(VLOOKUP(C128,threat_intelligence!A:B,2,0),"CLEAN")</f>
        <v>CLEAN</v>
      </c>
    </row>
    <row r="129" customFormat="false" ht="12.8" hidden="false" customHeight="false" outlineLevel="0" collapsed="false">
      <c r="A129" s="3" t="n">
        <v>45499.6069444444</v>
      </c>
      <c r="B129" s="1" t="s">
        <v>395</v>
      </c>
      <c r="C129" s="1" t="s">
        <v>396</v>
      </c>
      <c r="D129" s="4" t="s">
        <v>397</v>
      </c>
      <c r="E129" s="1" t="s">
        <v>21</v>
      </c>
      <c r="F129" s="1" t="s">
        <v>25</v>
      </c>
      <c r="G129" s="1" t="str">
        <f aca="false">TEXT(A129,"YYYY-MM-DD")</f>
        <v>2024-07-26</v>
      </c>
      <c r="H129" s="1" t="str">
        <f aca="false">TEXT(A129,"HH:MM")</f>
        <v>14:34</v>
      </c>
      <c r="I129" s="0" t="str">
        <f aca="false">IFERROR(VLOOKUP(C129,threat_intelligence!A:B,2,0),"CLEAN")</f>
        <v>CLEAN</v>
      </c>
    </row>
    <row r="130" customFormat="false" ht="12.8" hidden="false" customHeight="false" outlineLevel="0" collapsed="false">
      <c r="A130" s="3" t="n">
        <v>45499.9944444445</v>
      </c>
      <c r="B130" s="1" t="s">
        <v>398</v>
      </c>
      <c r="C130" s="1" t="s">
        <v>399</v>
      </c>
      <c r="D130" s="4" t="s">
        <v>400</v>
      </c>
      <c r="E130" s="1" t="s">
        <v>12</v>
      </c>
      <c r="F130" s="1" t="s">
        <v>13</v>
      </c>
      <c r="G130" s="1" t="str">
        <f aca="false">TEXT(A130,"YYYY-MM-DD")</f>
        <v>2024-07-26</v>
      </c>
      <c r="H130" s="1" t="str">
        <f aca="false">TEXT(A130,"HH:MM")</f>
        <v>23:52</v>
      </c>
      <c r="I130" s="0" t="str">
        <f aca="false">IFERROR(VLOOKUP(C130,threat_intelligence!A:B,2,0),"CLEAN")</f>
        <v>CLEAN</v>
      </c>
    </row>
    <row r="131" customFormat="false" ht="12.8" hidden="false" customHeight="false" outlineLevel="0" collapsed="false">
      <c r="A131" s="3" t="n">
        <v>45499.5597222222</v>
      </c>
      <c r="B131" s="1" t="s">
        <v>401</v>
      </c>
      <c r="C131" s="1" t="s">
        <v>402</v>
      </c>
      <c r="D131" s="4" t="s">
        <v>403</v>
      </c>
      <c r="E131" s="1" t="s">
        <v>21</v>
      </c>
      <c r="F131" s="1" t="s">
        <v>25</v>
      </c>
      <c r="G131" s="1" t="str">
        <f aca="false">TEXT(A131,"YYYY-MM-DD")</f>
        <v>2024-07-26</v>
      </c>
      <c r="H131" s="1" t="str">
        <f aca="false">TEXT(A131,"HH:MM")</f>
        <v>13:26</v>
      </c>
      <c r="I131" s="0" t="str">
        <f aca="false">IFERROR(VLOOKUP(C131,threat_intelligence!A:B,2,0),"CLEAN")</f>
        <v>CLEAN</v>
      </c>
    </row>
    <row r="132" customFormat="false" ht="12.8" hidden="false" customHeight="false" outlineLevel="0" collapsed="false">
      <c r="A132" s="3" t="n">
        <v>45500.225</v>
      </c>
      <c r="B132" s="1" t="s">
        <v>404</v>
      </c>
      <c r="C132" s="1" t="s">
        <v>405</v>
      </c>
      <c r="D132" s="4" t="s">
        <v>406</v>
      </c>
      <c r="E132" s="1" t="s">
        <v>17</v>
      </c>
      <c r="F132" s="1" t="s">
        <v>13</v>
      </c>
      <c r="G132" s="1" t="str">
        <f aca="false">TEXT(A132,"YYYY-MM-DD")</f>
        <v>2024-07-27</v>
      </c>
      <c r="H132" s="1" t="str">
        <f aca="false">TEXT(A132,"HH:MM")</f>
        <v>05:24</v>
      </c>
      <c r="I132" s="0" t="str">
        <f aca="false">IFERROR(VLOOKUP(C132,threat_intelligence!A:B,2,0),"CLEAN")</f>
        <v>CLEAN</v>
      </c>
    </row>
    <row r="133" customFormat="false" ht="12.8" hidden="false" customHeight="false" outlineLevel="0" collapsed="false">
      <c r="A133" s="3" t="n">
        <v>45499.9895833333</v>
      </c>
      <c r="B133" s="1" t="s">
        <v>407</v>
      </c>
      <c r="C133" s="1" t="s">
        <v>408</v>
      </c>
      <c r="D133" s="4" t="s">
        <v>409</v>
      </c>
      <c r="E133" s="1" t="s">
        <v>21</v>
      </c>
      <c r="F133" s="1" t="s">
        <v>25</v>
      </c>
      <c r="G133" s="1" t="str">
        <f aca="false">TEXT(A133,"YYYY-MM-DD")</f>
        <v>2024-07-26</v>
      </c>
      <c r="H133" s="1" t="str">
        <f aca="false">TEXT(A133,"HH:MM")</f>
        <v>23:45</v>
      </c>
      <c r="I133" s="0" t="str">
        <f aca="false">IFERROR(VLOOKUP(C133,threat_intelligence!A:B,2,0),"CLEAN")</f>
        <v>CLEAN</v>
      </c>
    </row>
    <row r="134" customFormat="false" ht="12.8" hidden="false" customHeight="false" outlineLevel="0" collapsed="false">
      <c r="A134" s="3" t="n">
        <v>45500.0527777778</v>
      </c>
      <c r="B134" s="1" t="s">
        <v>410</v>
      </c>
      <c r="C134" s="1" t="s">
        <v>411</v>
      </c>
      <c r="D134" s="4" t="s">
        <v>412</v>
      </c>
      <c r="E134" s="1" t="s">
        <v>17</v>
      </c>
      <c r="F134" s="1" t="s">
        <v>13</v>
      </c>
      <c r="G134" s="1" t="str">
        <f aca="false">TEXT(A134,"YYYY-MM-DD")</f>
        <v>2024-07-27</v>
      </c>
      <c r="H134" s="1" t="str">
        <f aca="false">TEXT(A134,"HH:MM")</f>
        <v>01:16</v>
      </c>
      <c r="I134" s="0" t="str">
        <f aca="false">IFERROR(VLOOKUP(C134,threat_intelligence!A:B,2,0),"CLEAN")</f>
        <v>CLEAN</v>
      </c>
    </row>
    <row r="135" customFormat="false" ht="12.8" hidden="false" customHeight="false" outlineLevel="0" collapsed="false">
      <c r="A135" s="3" t="n">
        <v>45499.7847222222</v>
      </c>
      <c r="B135" s="1" t="s">
        <v>413</v>
      </c>
      <c r="C135" s="1" t="s">
        <v>414</v>
      </c>
      <c r="D135" s="4" t="s">
        <v>415</v>
      </c>
      <c r="E135" s="1" t="s">
        <v>21</v>
      </c>
      <c r="F135" s="1" t="s">
        <v>25</v>
      </c>
      <c r="G135" s="1" t="str">
        <f aca="false">TEXT(A135,"YYYY-MM-DD")</f>
        <v>2024-07-26</v>
      </c>
      <c r="H135" s="1" t="str">
        <f aca="false">TEXT(A135,"HH:MM")</f>
        <v>18:50</v>
      </c>
      <c r="I135" s="0" t="str">
        <f aca="false">IFERROR(VLOOKUP(C135,threat_intelligence!A:B,2,0),"CLEAN")</f>
        <v>CLEAN</v>
      </c>
    </row>
    <row r="136" customFormat="false" ht="12.8" hidden="false" customHeight="false" outlineLevel="0" collapsed="false">
      <c r="A136" s="3" t="n">
        <v>45499.6319444444</v>
      </c>
      <c r="B136" s="1" t="s">
        <v>416</v>
      </c>
      <c r="C136" s="1" t="s">
        <v>417</v>
      </c>
      <c r="D136" s="4" t="s">
        <v>418</v>
      </c>
      <c r="E136" s="1" t="s">
        <v>17</v>
      </c>
      <c r="F136" s="1" t="s">
        <v>13</v>
      </c>
      <c r="G136" s="1" t="str">
        <f aca="false">TEXT(A136,"YYYY-MM-DD")</f>
        <v>2024-07-26</v>
      </c>
      <c r="H136" s="1" t="str">
        <f aca="false">TEXT(A136,"HH:MM")</f>
        <v>15:10</v>
      </c>
      <c r="I136" s="0" t="str">
        <f aca="false">IFERROR(VLOOKUP(C136,threat_intelligence!A:B,2,0),"CLEAN")</f>
        <v>CLEAN</v>
      </c>
    </row>
    <row r="137" customFormat="false" ht="12.8" hidden="false" customHeight="false" outlineLevel="0" collapsed="false">
      <c r="A137" s="3" t="n">
        <v>45500.2604166667</v>
      </c>
      <c r="B137" s="1" t="s">
        <v>419</v>
      </c>
      <c r="C137" s="1" t="s">
        <v>420</v>
      </c>
      <c r="D137" s="4" t="s">
        <v>421</v>
      </c>
      <c r="E137" s="1" t="s">
        <v>12</v>
      </c>
      <c r="F137" s="1" t="s">
        <v>13</v>
      </c>
      <c r="G137" s="1" t="str">
        <f aca="false">TEXT(A137,"YYYY-MM-DD")</f>
        <v>2024-07-27</v>
      </c>
      <c r="H137" s="1" t="str">
        <f aca="false">TEXT(A137,"HH:MM")</f>
        <v>06:15</v>
      </c>
      <c r="I137" s="0" t="str">
        <f aca="false">IFERROR(VLOOKUP(C137,threat_intelligence!A:B,2,0),"CLEAN")</f>
        <v>CLEAN</v>
      </c>
    </row>
    <row r="138" customFormat="false" ht="12.8" hidden="false" customHeight="false" outlineLevel="0" collapsed="false">
      <c r="A138" s="3" t="n">
        <v>45499.6354166667</v>
      </c>
      <c r="B138" s="1" t="s">
        <v>422</v>
      </c>
      <c r="C138" s="1" t="s">
        <v>423</v>
      </c>
      <c r="D138" s="4" t="s">
        <v>424</v>
      </c>
      <c r="E138" s="1" t="s">
        <v>21</v>
      </c>
      <c r="F138" s="1" t="s">
        <v>13</v>
      </c>
      <c r="G138" s="1" t="str">
        <f aca="false">TEXT(A138,"YYYY-MM-DD")</f>
        <v>2024-07-26</v>
      </c>
      <c r="H138" s="1" t="str">
        <f aca="false">TEXT(A138,"HH:MM")</f>
        <v>15:15</v>
      </c>
      <c r="I138" s="0" t="str">
        <f aca="false">IFERROR(VLOOKUP(C138,threat_intelligence!A:B,2,0),"CLEAN")</f>
        <v>CLEAN</v>
      </c>
    </row>
    <row r="139" customFormat="false" ht="12.8" hidden="false" customHeight="false" outlineLevel="0" collapsed="false">
      <c r="A139" s="3" t="n">
        <v>45499.4145833333</v>
      </c>
      <c r="B139" s="1" t="s">
        <v>425</v>
      </c>
      <c r="C139" s="1" t="s">
        <v>426</v>
      </c>
      <c r="D139" s="4" t="s">
        <v>427</v>
      </c>
      <c r="E139" s="1" t="s">
        <v>21</v>
      </c>
      <c r="F139" s="1" t="s">
        <v>25</v>
      </c>
      <c r="G139" s="1" t="str">
        <f aca="false">TEXT(A139,"YYYY-MM-DD")</f>
        <v>2024-07-26</v>
      </c>
      <c r="H139" s="1" t="str">
        <f aca="false">TEXT(A139,"HH:MM")</f>
        <v>09:57</v>
      </c>
      <c r="I139" s="0" t="str">
        <f aca="false">IFERROR(VLOOKUP(C139,threat_intelligence!A:B,2,0),"CLEAN")</f>
        <v>CLEAN</v>
      </c>
    </row>
    <row r="140" customFormat="false" ht="12.8" hidden="false" customHeight="false" outlineLevel="0" collapsed="false">
      <c r="A140" s="3" t="n">
        <v>45499.3993055556</v>
      </c>
      <c r="B140" s="1" t="s">
        <v>428</v>
      </c>
      <c r="C140" s="1" t="s">
        <v>429</v>
      </c>
      <c r="D140" s="4" t="s">
        <v>430</v>
      </c>
      <c r="E140" s="1" t="s">
        <v>12</v>
      </c>
      <c r="F140" s="1" t="s">
        <v>25</v>
      </c>
      <c r="G140" s="1" t="str">
        <f aca="false">TEXT(A140,"YYYY-MM-DD")</f>
        <v>2024-07-26</v>
      </c>
      <c r="H140" s="1" t="str">
        <f aca="false">TEXT(A140,"HH:MM")</f>
        <v>09:35</v>
      </c>
      <c r="I140" s="0" t="str">
        <f aca="false">IFERROR(VLOOKUP(C140,threat_intelligence!A:B,2,0),"CLEAN")</f>
        <v>CLEAN</v>
      </c>
    </row>
    <row r="141" customFormat="false" ht="12.8" hidden="false" customHeight="false" outlineLevel="0" collapsed="false">
      <c r="A141" s="3" t="n">
        <v>45500.2104166667</v>
      </c>
      <c r="B141" s="1" t="s">
        <v>431</v>
      </c>
      <c r="C141" s="1" t="s">
        <v>432</v>
      </c>
      <c r="D141" s="4" t="s">
        <v>433</v>
      </c>
      <c r="E141" s="1" t="s">
        <v>21</v>
      </c>
      <c r="F141" s="1" t="s">
        <v>13</v>
      </c>
      <c r="G141" s="1" t="str">
        <f aca="false">TEXT(A141,"YYYY-MM-DD")</f>
        <v>2024-07-27</v>
      </c>
      <c r="H141" s="1" t="str">
        <f aca="false">TEXT(A141,"HH:MM")</f>
        <v>05:03</v>
      </c>
      <c r="I141" s="0" t="str">
        <f aca="false">IFERROR(VLOOKUP(C141,threat_intelligence!A:B,2,0),"CLEAN")</f>
        <v>CLEAN</v>
      </c>
    </row>
    <row r="142" customFormat="false" ht="12.8" hidden="false" customHeight="false" outlineLevel="0" collapsed="false">
      <c r="A142" s="3" t="n">
        <v>45499.7861111111</v>
      </c>
      <c r="B142" s="1" t="s">
        <v>434</v>
      </c>
      <c r="C142" s="1" t="s">
        <v>435</v>
      </c>
      <c r="D142" s="4" t="s">
        <v>436</v>
      </c>
      <c r="E142" s="1" t="s">
        <v>12</v>
      </c>
      <c r="F142" s="1" t="s">
        <v>25</v>
      </c>
      <c r="G142" s="1" t="str">
        <f aca="false">TEXT(A142,"YYYY-MM-DD")</f>
        <v>2024-07-26</v>
      </c>
      <c r="H142" s="1" t="str">
        <f aca="false">TEXT(A142,"HH:MM")</f>
        <v>18:52</v>
      </c>
      <c r="I142" s="0" t="str">
        <f aca="false">IFERROR(VLOOKUP(C142,threat_intelligence!A:B,2,0),"CLEAN")</f>
        <v>CLEAN</v>
      </c>
    </row>
    <row r="143" customFormat="false" ht="12.8" hidden="false" customHeight="false" outlineLevel="0" collapsed="false">
      <c r="A143" s="3" t="n">
        <v>45500.1854166667</v>
      </c>
      <c r="B143" s="1" t="s">
        <v>437</v>
      </c>
      <c r="C143" s="1" t="s">
        <v>438</v>
      </c>
      <c r="D143" s="4" t="s">
        <v>439</v>
      </c>
      <c r="E143" s="1" t="s">
        <v>17</v>
      </c>
      <c r="F143" s="1" t="s">
        <v>25</v>
      </c>
      <c r="G143" s="1" t="str">
        <f aca="false">TEXT(A143,"YYYY-MM-DD")</f>
        <v>2024-07-27</v>
      </c>
      <c r="H143" s="1" t="str">
        <f aca="false">TEXT(A143,"HH:MM")</f>
        <v>04:27</v>
      </c>
      <c r="I143" s="0" t="str">
        <f aca="false">IFERROR(VLOOKUP(C143,threat_intelligence!A:B,2,0),"CLEAN")</f>
        <v>CLEAN</v>
      </c>
    </row>
    <row r="144" customFormat="false" ht="12.8" hidden="false" customHeight="false" outlineLevel="0" collapsed="false">
      <c r="A144" s="3" t="n">
        <v>45499.9736111111</v>
      </c>
      <c r="B144" s="1" t="s">
        <v>440</v>
      </c>
      <c r="C144" s="1" t="s">
        <v>441</v>
      </c>
      <c r="D144" s="4" t="s">
        <v>442</v>
      </c>
      <c r="E144" s="1" t="s">
        <v>21</v>
      </c>
      <c r="F144" s="1" t="s">
        <v>25</v>
      </c>
      <c r="G144" s="1" t="str">
        <f aca="false">TEXT(A144,"YYYY-MM-DD")</f>
        <v>2024-07-26</v>
      </c>
      <c r="H144" s="1" t="str">
        <f aca="false">TEXT(A144,"HH:MM")</f>
        <v>23:22</v>
      </c>
      <c r="I144" s="0" t="str">
        <f aca="false">IFERROR(VLOOKUP(C144,threat_intelligence!A:B,2,0),"CLEAN")</f>
        <v>CLEAN</v>
      </c>
    </row>
    <row r="145" customFormat="false" ht="12.8" hidden="false" customHeight="false" outlineLevel="0" collapsed="false">
      <c r="A145" s="3" t="n">
        <v>45500.1194444445</v>
      </c>
      <c r="B145" s="1" t="s">
        <v>443</v>
      </c>
      <c r="C145" s="1" t="s">
        <v>444</v>
      </c>
      <c r="D145" s="4" t="s">
        <v>445</v>
      </c>
      <c r="E145" s="1" t="s">
        <v>12</v>
      </c>
      <c r="F145" s="1" t="s">
        <v>25</v>
      </c>
      <c r="G145" s="1" t="str">
        <f aca="false">TEXT(A145,"YYYY-MM-DD")</f>
        <v>2024-07-27</v>
      </c>
      <c r="H145" s="1" t="str">
        <f aca="false">TEXT(A145,"HH:MM")</f>
        <v>02:52</v>
      </c>
      <c r="I145" s="0" t="str">
        <f aca="false">IFERROR(VLOOKUP(C145,threat_intelligence!A:B,2,0),"CLEAN")</f>
        <v>CLEAN</v>
      </c>
    </row>
    <row r="146" customFormat="false" ht="12.8" hidden="false" customHeight="false" outlineLevel="0" collapsed="false">
      <c r="A146" s="3" t="n">
        <v>45499.3583333333</v>
      </c>
      <c r="B146" s="1" t="s">
        <v>446</v>
      </c>
      <c r="C146" s="1" t="s">
        <v>447</v>
      </c>
      <c r="D146" s="4" t="s">
        <v>448</v>
      </c>
      <c r="E146" s="1" t="s">
        <v>21</v>
      </c>
      <c r="F146" s="1" t="s">
        <v>13</v>
      </c>
      <c r="G146" s="1" t="str">
        <f aca="false">TEXT(A146,"YYYY-MM-DD")</f>
        <v>2024-07-26</v>
      </c>
      <c r="H146" s="1" t="str">
        <f aca="false">TEXT(A146,"HH:MM")</f>
        <v>08:36</v>
      </c>
      <c r="I146" s="0" t="str">
        <f aca="false">IFERROR(VLOOKUP(C146,threat_intelligence!A:B,2,0),"CLEAN")</f>
        <v>CLEAN</v>
      </c>
    </row>
    <row r="147" customFormat="false" ht="12.8" hidden="false" customHeight="false" outlineLevel="0" collapsed="false">
      <c r="A147" s="3" t="n">
        <v>45500.1493055556</v>
      </c>
      <c r="B147" s="1" t="s">
        <v>449</v>
      </c>
      <c r="C147" s="1" t="s">
        <v>450</v>
      </c>
      <c r="D147" s="4" t="s">
        <v>451</v>
      </c>
      <c r="E147" s="1" t="s">
        <v>21</v>
      </c>
      <c r="F147" s="1" t="s">
        <v>25</v>
      </c>
      <c r="G147" s="1" t="str">
        <f aca="false">TEXT(A147,"YYYY-MM-DD")</f>
        <v>2024-07-27</v>
      </c>
      <c r="H147" s="1" t="str">
        <f aca="false">TEXT(A147,"HH:MM")</f>
        <v>03:35</v>
      </c>
      <c r="I147" s="0" t="str">
        <f aca="false">IFERROR(VLOOKUP(C147,threat_intelligence!A:B,2,0),"CLEAN")</f>
        <v>CLEAN</v>
      </c>
    </row>
    <row r="148" customFormat="false" ht="12.8" hidden="false" customHeight="false" outlineLevel="0" collapsed="false">
      <c r="A148" s="3" t="n">
        <v>45500.1284722222</v>
      </c>
      <c r="B148" s="1" t="s">
        <v>452</v>
      </c>
      <c r="C148" s="1" t="s">
        <v>453</v>
      </c>
      <c r="D148" s="4" t="s">
        <v>454</v>
      </c>
      <c r="E148" s="1" t="s">
        <v>21</v>
      </c>
      <c r="F148" s="1" t="s">
        <v>13</v>
      </c>
      <c r="G148" s="1" t="str">
        <f aca="false">TEXT(A148,"YYYY-MM-DD")</f>
        <v>2024-07-27</v>
      </c>
      <c r="H148" s="1" t="str">
        <f aca="false">TEXT(A148,"HH:MM")</f>
        <v>03:05</v>
      </c>
      <c r="I148" s="0" t="str">
        <f aca="false">IFERROR(VLOOKUP(C148,threat_intelligence!A:B,2,0),"CLEAN")</f>
        <v>CLEAN</v>
      </c>
    </row>
    <row r="149" customFormat="false" ht="12.8" hidden="false" customHeight="false" outlineLevel="0" collapsed="false">
      <c r="A149" s="3" t="n">
        <v>45500.14375</v>
      </c>
      <c r="B149" s="1" t="s">
        <v>455</v>
      </c>
      <c r="C149" s="1" t="s">
        <v>456</v>
      </c>
      <c r="D149" s="4" t="s">
        <v>457</v>
      </c>
      <c r="E149" s="1" t="s">
        <v>21</v>
      </c>
      <c r="F149" s="1" t="s">
        <v>25</v>
      </c>
      <c r="G149" s="1" t="str">
        <f aca="false">TEXT(A149,"YYYY-MM-DD")</f>
        <v>2024-07-27</v>
      </c>
      <c r="H149" s="1" t="str">
        <f aca="false">TEXT(A149,"HH:MM")</f>
        <v>03:27</v>
      </c>
      <c r="I149" s="0" t="str">
        <f aca="false">IFERROR(VLOOKUP(C149,threat_intelligence!A:B,2,0),"CLEAN")</f>
        <v>CLEAN</v>
      </c>
    </row>
    <row r="150" customFormat="false" ht="12.8" hidden="false" customHeight="false" outlineLevel="0" collapsed="false">
      <c r="A150" s="3" t="n">
        <v>45499.5673611111</v>
      </c>
      <c r="B150" s="1" t="s">
        <v>458</v>
      </c>
      <c r="C150" s="1" t="s">
        <v>459</v>
      </c>
      <c r="D150" s="4" t="s">
        <v>460</v>
      </c>
      <c r="E150" s="1" t="s">
        <v>21</v>
      </c>
      <c r="F150" s="1" t="s">
        <v>13</v>
      </c>
      <c r="G150" s="1" t="str">
        <f aca="false">TEXT(A150,"YYYY-MM-DD")</f>
        <v>2024-07-26</v>
      </c>
      <c r="H150" s="1" t="str">
        <f aca="false">TEXT(A150,"HH:MM")</f>
        <v>13:37</v>
      </c>
      <c r="I150" s="0" t="str">
        <f aca="false">IFERROR(VLOOKUP(C150,threat_intelligence!A:B,2,0),"CLEAN")</f>
        <v>CLEAN</v>
      </c>
    </row>
    <row r="151" customFormat="false" ht="12.8" hidden="false" customHeight="false" outlineLevel="0" collapsed="false">
      <c r="A151" s="3" t="n">
        <v>45499.5993055556</v>
      </c>
      <c r="B151" s="1" t="s">
        <v>461</v>
      </c>
      <c r="C151" s="1" t="s">
        <v>462</v>
      </c>
      <c r="D151" s="4" t="s">
        <v>463</v>
      </c>
      <c r="E151" s="1" t="s">
        <v>21</v>
      </c>
      <c r="F151" s="1" t="s">
        <v>13</v>
      </c>
      <c r="G151" s="1" t="str">
        <f aca="false">TEXT(A151,"YYYY-MM-DD")</f>
        <v>2024-07-26</v>
      </c>
      <c r="H151" s="1" t="str">
        <f aca="false">TEXT(A151,"HH:MM")</f>
        <v>14:23</v>
      </c>
      <c r="I151" s="0" t="str">
        <f aca="false">IFERROR(VLOOKUP(C151,threat_intelligence!A:B,2,0),"CLEAN")</f>
        <v>CLEAN</v>
      </c>
    </row>
    <row r="152" customFormat="false" ht="12.8" hidden="false" customHeight="false" outlineLevel="0" collapsed="false">
      <c r="A152" s="3" t="n">
        <v>45499.6805555556</v>
      </c>
      <c r="B152" s="1" t="s">
        <v>464</v>
      </c>
      <c r="C152" s="1" t="s">
        <v>465</v>
      </c>
      <c r="D152" s="4" t="s">
        <v>466</v>
      </c>
      <c r="E152" s="1" t="s">
        <v>21</v>
      </c>
      <c r="F152" s="1" t="s">
        <v>13</v>
      </c>
      <c r="G152" s="1" t="str">
        <f aca="false">TEXT(A152,"YYYY-MM-DD")</f>
        <v>2024-07-26</v>
      </c>
      <c r="H152" s="1" t="str">
        <f aca="false">TEXT(A152,"HH:MM")</f>
        <v>16:20</v>
      </c>
      <c r="I152" s="0" t="str">
        <f aca="false">IFERROR(VLOOKUP(C152,threat_intelligence!A:B,2,0),"CLEAN")</f>
        <v>CLEAN</v>
      </c>
    </row>
    <row r="153" customFormat="false" ht="12.8" hidden="false" customHeight="false" outlineLevel="0" collapsed="false">
      <c r="A153" s="3" t="n">
        <v>45499.9548611111</v>
      </c>
      <c r="B153" s="1" t="s">
        <v>467</v>
      </c>
      <c r="C153" s="1" t="s">
        <v>468</v>
      </c>
      <c r="D153" s="4" t="s">
        <v>469</v>
      </c>
      <c r="E153" s="1" t="s">
        <v>17</v>
      </c>
      <c r="F153" s="1" t="s">
        <v>25</v>
      </c>
      <c r="G153" s="1" t="str">
        <f aca="false">TEXT(A153,"YYYY-MM-DD")</f>
        <v>2024-07-26</v>
      </c>
      <c r="H153" s="1" t="str">
        <f aca="false">TEXT(A153,"HH:MM")</f>
        <v>22:55</v>
      </c>
      <c r="I153" s="0" t="str">
        <f aca="false">IFERROR(VLOOKUP(C153,threat_intelligence!A:B,2,0),"CLEAN")</f>
        <v>CLEAN</v>
      </c>
    </row>
    <row r="154" customFormat="false" ht="12.8" hidden="false" customHeight="false" outlineLevel="0" collapsed="false">
      <c r="A154" s="3" t="n">
        <v>45499.4340277778</v>
      </c>
      <c r="B154" s="1" t="s">
        <v>470</v>
      </c>
      <c r="C154" s="1" t="s">
        <v>471</v>
      </c>
      <c r="D154" s="4" t="s">
        <v>472</v>
      </c>
      <c r="E154" s="1" t="s">
        <v>17</v>
      </c>
      <c r="F154" s="1" t="s">
        <v>25</v>
      </c>
      <c r="G154" s="1" t="str">
        <f aca="false">TEXT(A154,"YYYY-MM-DD")</f>
        <v>2024-07-26</v>
      </c>
      <c r="H154" s="1" t="str">
        <f aca="false">TEXT(A154,"HH:MM")</f>
        <v>10:25</v>
      </c>
      <c r="I154" s="0" t="str">
        <f aca="false">IFERROR(VLOOKUP(C154,threat_intelligence!A:B,2,0),"CLEAN")</f>
        <v>CLEAN</v>
      </c>
    </row>
    <row r="155" customFormat="false" ht="12.8" hidden="false" customHeight="false" outlineLevel="0" collapsed="false">
      <c r="A155" s="3" t="n">
        <v>45499.79375</v>
      </c>
      <c r="B155" s="1" t="s">
        <v>473</v>
      </c>
      <c r="C155" s="1" t="s">
        <v>474</v>
      </c>
      <c r="D155" s="4" t="s">
        <v>475</v>
      </c>
      <c r="E155" s="1" t="s">
        <v>21</v>
      </c>
      <c r="F155" s="1" t="s">
        <v>13</v>
      </c>
      <c r="G155" s="1" t="str">
        <f aca="false">TEXT(A155,"YYYY-MM-DD")</f>
        <v>2024-07-26</v>
      </c>
      <c r="H155" s="1" t="str">
        <f aca="false">TEXT(A155,"HH:MM")</f>
        <v>19:03</v>
      </c>
      <c r="I155" s="0" t="str">
        <f aca="false">IFERROR(VLOOKUP(C155,threat_intelligence!A:B,2,0),"CLEAN")</f>
        <v>CLEAN</v>
      </c>
    </row>
    <row r="156" customFormat="false" ht="12.8" hidden="false" customHeight="false" outlineLevel="0" collapsed="false">
      <c r="A156" s="3" t="n">
        <v>45499.8298611111</v>
      </c>
      <c r="B156" s="1" t="s">
        <v>476</v>
      </c>
      <c r="C156" s="1" t="s">
        <v>477</v>
      </c>
      <c r="D156" s="4" t="s">
        <v>478</v>
      </c>
      <c r="E156" s="1" t="s">
        <v>12</v>
      </c>
      <c r="F156" s="1" t="s">
        <v>25</v>
      </c>
      <c r="G156" s="1" t="str">
        <f aca="false">TEXT(A156,"YYYY-MM-DD")</f>
        <v>2024-07-26</v>
      </c>
      <c r="H156" s="1" t="str">
        <f aca="false">TEXT(A156,"HH:MM")</f>
        <v>19:55</v>
      </c>
      <c r="I156" s="0" t="str">
        <f aca="false">IFERROR(VLOOKUP(C156,threat_intelligence!A:B,2,0),"CLEAN")</f>
        <v>CLEAN</v>
      </c>
    </row>
    <row r="157" customFormat="false" ht="12.8" hidden="false" customHeight="false" outlineLevel="0" collapsed="false">
      <c r="A157" s="3" t="n">
        <v>45500.1131944445</v>
      </c>
      <c r="B157" s="1" t="s">
        <v>479</v>
      </c>
      <c r="C157" s="1" t="s">
        <v>480</v>
      </c>
      <c r="D157" s="4" t="s">
        <v>481</v>
      </c>
      <c r="E157" s="1" t="s">
        <v>12</v>
      </c>
      <c r="F157" s="1" t="s">
        <v>13</v>
      </c>
      <c r="G157" s="1" t="str">
        <f aca="false">TEXT(A157,"YYYY-MM-DD")</f>
        <v>2024-07-27</v>
      </c>
      <c r="H157" s="1" t="str">
        <f aca="false">TEXT(A157,"HH:MM")</f>
        <v>02:43</v>
      </c>
      <c r="I157" s="0" t="str">
        <f aca="false">IFERROR(VLOOKUP(C157,threat_intelligence!A:B,2,0),"CLEAN")</f>
        <v>CLEAN</v>
      </c>
    </row>
    <row r="158" customFormat="false" ht="12.8" hidden="false" customHeight="false" outlineLevel="0" collapsed="false">
      <c r="A158" s="3" t="n">
        <v>45499.8701388889</v>
      </c>
      <c r="B158" s="1" t="s">
        <v>482</v>
      </c>
      <c r="C158" s="1" t="s">
        <v>483</v>
      </c>
      <c r="D158" s="4" t="s">
        <v>484</v>
      </c>
      <c r="E158" s="1" t="s">
        <v>12</v>
      </c>
      <c r="F158" s="1" t="s">
        <v>13</v>
      </c>
      <c r="G158" s="1" t="str">
        <f aca="false">TEXT(A158,"YYYY-MM-DD")</f>
        <v>2024-07-26</v>
      </c>
      <c r="H158" s="1" t="str">
        <f aca="false">TEXT(A158,"HH:MM")</f>
        <v>20:53</v>
      </c>
      <c r="I158" s="0" t="str">
        <f aca="false">IFERROR(VLOOKUP(C158,threat_intelligence!A:B,2,0),"CLEAN")</f>
        <v>CLEAN</v>
      </c>
    </row>
    <row r="159" customFormat="false" ht="12.8" hidden="false" customHeight="false" outlineLevel="0" collapsed="false">
      <c r="A159" s="3" t="n">
        <v>45500.3256944444</v>
      </c>
      <c r="B159" s="1" t="s">
        <v>485</v>
      </c>
      <c r="C159" s="1" t="s">
        <v>486</v>
      </c>
      <c r="D159" s="4" t="s">
        <v>487</v>
      </c>
      <c r="E159" s="1" t="s">
        <v>21</v>
      </c>
      <c r="F159" s="1" t="s">
        <v>25</v>
      </c>
      <c r="G159" s="1" t="str">
        <f aca="false">TEXT(A159,"YYYY-MM-DD")</f>
        <v>2024-07-27</v>
      </c>
      <c r="H159" s="1" t="str">
        <f aca="false">TEXT(A159,"HH:MM")</f>
        <v>07:49</v>
      </c>
      <c r="I159" s="0" t="str">
        <f aca="false">IFERROR(VLOOKUP(C159,threat_intelligence!A:B,2,0),"CLEAN")</f>
        <v>CLEAN</v>
      </c>
    </row>
    <row r="160" customFormat="false" ht="12.8" hidden="false" customHeight="false" outlineLevel="0" collapsed="false">
      <c r="A160" s="3" t="n">
        <v>45499.9555555556</v>
      </c>
      <c r="B160" s="1" t="s">
        <v>488</v>
      </c>
      <c r="C160" s="1" t="s">
        <v>489</v>
      </c>
      <c r="D160" s="4" t="s">
        <v>490</v>
      </c>
      <c r="E160" s="1" t="s">
        <v>17</v>
      </c>
      <c r="F160" s="1" t="s">
        <v>13</v>
      </c>
      <c r="G160" s="1" t="str">
        <f aca="false">TEXT(A160,"YYYY-MM-DD")</f>
        <v>2024-07-26</v>
      </c>
      <c r="H160" s="1" t="str">
        <f aca="false">TEXT(A160,"HH:MM")</f>
        <v>22:56</v>
      </c>
      <c r="I160" s="0" t="str">
        <f aca="false">IFERROR(VLOOKUP(C160,threat_intelligence!A:B,2,0),"CLEAN")</f>
        <v>CLEAN</v>
      </c>
    </row>
    <row r="161" customFormat="false" ht="12.8" hidden="false" customHeight="false" outlineLevel="0" collapsed="false">
      <c r="A161" s="3" t="n">
        <v>45500.0256944444</v>
      </c>
      <c r="B161" s="1" t="s">
        <v>491</v>
      </c>
      <c r="C161" s="1" t="s">
        <v>492</v>
      </c>
      <c r="D161" s="4" t="s">
        <v>493</v>
      </c>
      <c r="E161" s="1" t="s">
        <v>12</v>
      </c>
      <c r="F161" s="1" t="s">
        <v>13</v>
      </c>
      <c r="G161" s="1" t="str">
        <f aca="false">TEXT(A161,"YYYY-MM-DD")</f>
        <v>2024-07-27</v>
      </c>
      <c r="H161" s="1" t="str">
        <f aca="false">TEXT(A161,"HH:MM")</f>
        <v>00:37</v>
      </c>
      <c r="I161" s="0" t="str">
        <f aca="false">IFERROR(VLOOKUP(C161,threat_intelligence!A:B,2,0),"CLEAN")</f>
        <v>CLEAN</v>
      </c>
    </row>
    <row r="162" customFormat="false" ht="12.8" hidden="false" customHeight="false" outlineLevel="0" collapsed="false">
      <c r="A162" s="3" t="n">
        <v>45499.8486111111</v>
      </c>
      <c r="B162" s="1" t="s">
        <v>494</v>
      </c>
      <c r="C162" s="1" t="s">
        <v>495</v>
      </c>
      <c r="D162" s="4" t="s">
        <v>496</v>
      </c>
      <c r="E162" s="1" t="s">
        <v>12</v>
      </c>
      <c r="F162" s="1" t="s">
        <v>13</v>
      </c>
      <c r="G162" s="1" t="str">
        <f aca="false">TEXT(A162,"YYYY-MM-DD")</f>
        <v>2024-07-26</v>
      </c>
      <c r="H162" s="1" t="str">
        <f aca="false">TEXT(A162,"HH:MM")</f>
        <v>20:22</v>
      </c>
      <c r="I162" s="0" t="str">
        <f aca="false">IFERROR(VLOOKUP(C162,threat_intelligence!A:B,2,0),"CLEAN")</f>
        <v>CLEAN</v>
      </c>
    </row>
    <row r="163" customFormat="false" ht="12.8" hidden="false" customHeight="false" outlineLevel="0" collapsed="false">
      <c r="A163" s="3" t="n">
        <v>45500.0597222222</v>
      </c>
      <c r="B163" s="1" t="s">
        <v>497</v>
      </c>
      <c r="C163" s="1" t="s">
        <v>498</v>
      </c>
      <c r="D163" s="4" t="s">
        <v>499</v>
      </c>
      <c r="E163" s="1" t="s">
        <v>12</v>
      </c>
      <c r="F163" s="1" t="s">
        <v>25</v>
      </c>
      <c r="G163" s="1" t="str">
        <f aca="false">TEXT(A163,"YYYY-MM-DD")</f>
        <v>2024-07-27</v>
      </c>
      <c r="H163" s="1" t="str">
        <f aca="false">TEXT(A163,"HH:MM")</f>
        <v>01:26</v>
      </c>
      <c r="I163" s="0" t="str">
        <f aca="false">IFERROR(VLOOKUP(C163,threat_intelligence!A:B,2,0),"CLEAN")</f>
        <v>CLEAN</v>
      </c>
    </row>
    <row r="164" customFormat="false" ht="12.8" hidden="false" customHeight="false" outlineLevel="0" collapsed="false">
      <c r="A164" s="3" t="n">
        <v>45499.3923611111</v>
      </c>
      <c r="B164" s="1" t="s">
        <v>500</v>
      </c>
      <c r="C164" s="1" t="s">
        <v>501</v>
      </c>
      <c r="D164" s="4" t="s">
        <v>502</v>
      </c>
      <c r="E164" s="1" t="s">
        <v>21</v>
      </c>
      <c r="F164" s="1" t="s">
        <v>13</v>
      </c>
      <c r="G164" s="1" t="str">
        <f aca="false">TEXT(A164,"YYYY-MM-DD")</f>
        <v>2024-07-26</v>
      </c>
      <c r="H164" s="1" t="str">
        <f aca="false">TEXT(A164,"HH:MM")</f>
        <v>09:25</v>
      </c>
      <c r="I164" s="0" t="str">
        <f aca="false">IFERROR(VLOOKUP(C164,threat_intelligence!A:B,2,0),"CLEAN")</f>
        <v>CLEAN</v>
      </c>
    </row>
    <row r="165" customFormat="false" ht="12.8" hidden="false" customHeight="false" outlineLevel="0" collapsed="false">
      <c r="A165" s="3" t="n">
        <v>45499.6277777778</v>
      </c>
      <c r="B165" s="1" t="s">
        <v>503</v>
      </c>
      <c r="C165" s="1" t="s">
        <v>504</v>
      </c>
      <c r="D165" s="4" t="s">
        <v>505</v>
      </c>
      <c r="E165" s="1" t="s">
        <v>17</v>
      </c>
      <c r="F165" s="1" t="s">
        <v>13</v>
      </c>
      <c r="G165" s="1" t="str">
        <f aca="false">TEXT(A165,"YYYY-MM-DD")</f>
        <v>2024-07-26</v>
      </c>
      <c r="H165" s="1" t="str">
        <f aca="false">TEXT(A165,"HH:MM")</f>
        <v>15:04</v>
      </c>
      <c r="I165" s="0" t="str">
        <f aca="false">IFERROR(VLOOKUP(C165,threat_intelligence!A:B,2,0),"CLEAN")</f>
        <v>CLEAN</v>
      </c>
    </row>
    <row r="166" customFormat="false" ht="12.8" hidden="false" customHeight="false" outlineLevel="0" collapsed="false">
      <c r="A166" s="3" t="n">
        <v>45499.4340277778</v>
      </c>
      <c r="B166" s="1" t="s">
        <v>506</v>
      </c>
      <c r="C166" s="1" t="s">
        <v>507</v>
      </c>
      <c r="D166" s="4" t="s">
        <v>508</v>
      </c>
      <c r="E166" s="1" t="s">
        <v>17</v>
      </c>
      <c r="F166" s="1" t="s">
        <v>25</v>
      </c>
      <c r="G166" s="1" t="str">
        <f aca="false">TEXT(A166,"YYYY-MM-DD")</f>
        <v>2024-07-26</v>
      </c>
      <c r="H166" s="1" t="str">
        <f aca="false">TEXT(A166,"HH:MM")</f>
        <v>10:25</v>
      </c>
      <c r="I166" s="0" t="str">
        <f aca="false">IFERROR(VLOOKUP(C166,threat_intelligence!A:B,2,0),"CLEAN")</f>
        <v>CLEAN</v>
      </c>
    </row>
    <row r="167" customFormat="false" ht="12.8" hidden="false" customHeight="false" outlineLevel="0" collapsed="false">
      <c r="A167" s="3" t="n">
        <v>45500.10625</v>
      </c>
      <c r="B167" s="1" t="s">
        <v>509</v>
      </c>
      <c r="C167" s="1" t="s">
        <v>510</v>
      </c>
      <c r="D167" s="4" t="s">
        <v>511</v>
      </c>
      <c r="E167" s="1" t="s">
        <v>17</v>
      </c>
      <c r="F167" s="1" t="s">
        <v>13</v>
      </c>
      <c r="G167" s="1" t="str">
        <f aca="false">TEXT(A167,"YYYY-MM-DD")</f>
        <v>2024-07-27</v>
      </c>
      <c r="H167" s="1" t="str">
        <f aca="false">TEXT(A167,"HH:MM")</f>
        <v>02:33</v>
      </c>
      <c r="I167" s="0" t="str">
        <f aca="false">IFERROR(VLOOKUP(C167,threat_intelligence!A:B,2,0),"CLEAN")</f>
        <v>CLEAN</v>
      </c>
    </row>
    <row r="168" customFormat="false" ht="12.8" hidden="false" customHeight="false" outlineLevel="0" collapsed="false">
      <c r="A168" s="3" t="n">
        <v>45499.83125</v>
      </c>
      <c r="B168" s="1" t="s">
        <v>512</v>
      </c>
      <c r="C168" s="1" t="s">
        <v>513</v>
      </c>
      <c r="D168" s="4" t="s">
        <v>514</v>
      </c>
      <c r="E168" s="1" t="s">
        <v>21</v>
      </c>
      <c r="F168" s="1" t="s">
        <v>13</v>
      </c>
      <c r="G168" s="1" t="str">
        <f aca="false">TEXT(A168,"YYYY-MM-DD")</f>
        <v>2024-07-26</v>
      </c>
      <c r="H168" s="1" t="str">
        <f aca="false">TEXT(A168,"HH:MM")</f>
        <v>19:57</v>
      </c>
      <c r="I168" s="0" t="str">
        <f aca="false">IFERROR(VLOOKUP(C168,threat_intelligence!A:B,2,0),"CLEAN")</f>
        <v>CLEAN</v>
      </c>
    </row>
    <row r="169" customFormat="false" ht="12.8" hidden="false" customHeight="false" outlineLevel="0" collapsed="false">
      <c r="A169" s="3" t="n">
        <v>45499.6479166667</v>
      </c>
      <c r="B169" s="1" t="s">
        <v>515</v>
      </c>
      <c r="C169" s="1" t="s">
        <v>516</v>
      </c>
      <c r="D169" s="4" t="s">
        <v>517</v>
      </c>
      <c r="E169" s="1" t="s">
        <v>12</v>
      </c>
      <c r="F169" s="1" t="s">
        <v>13</v>
      </c>
      <c r="G169" s="1" t="str">
        <f aca="false">TEXT(A169,"YYYY-MM-DD")</f>
        <v>2024-07-26</v>
      </c>
      <c r="H169" s="1" t="str">
        <f aca="false">TEXT(A169,"HH:MM")</f>
        <v>15:33</v>
      </c>
      <c r="I169" s="0" t="str">
        <f aca="false">IFERROR(VLOOKUP(C169,threat_intelligence!A:B,2,0),"CLEAN")</f>
        <v>CLEAN</v>
      </c>
    </row>
    <row r="170" customFormat="false" ht="12.8" hidden="false" customHeight="false" outlineLevel="0" collapsed="false">
      <c r="A170" s="3" t="n">
        <v>45499.8638888889</v>
      </c>
      <c r="B170" s="1" t="s">
        <v>518</v>
      </c>
      <c r="C170" s="1" t="s">
        <v>519</v>
      </c>
      <c r="D170" s="4" t="s">
        <v>520</v>
      </c>
      <c r="E170" s="1" t="s">
        <v>21</v>
      </c>
      <c r="F170" s="1" t="s">
        <v>25</v>
      </c>
      <c r="G170" s="1" t="str">
        <f aca="false">TEXT(A170,"YYYY-MM-DD")</f>
        <v>2024-07-26</v>
      </c>
      <c r="H170" s="1" t="str">
        <f aca="false">TEXT(A170,"HH:MM")</f>
        <v>20:44</v>
      </c>
      <c r="I170" s="0" t="str">
        <f aca="false">IFERROR(VLOOKUP(C170,threat_intelligence!A:B,2,0),"CLEAN")</f>
        <v>CLEAN</v>
      </c>
    </row>
    <row r="171" customFormat="false" ht="12.8" hidden="false" customHeight="false" outlineLevel="0" collapsed="false">
      <c r="A171" s="3" t="n">
        <v>45500.2680555556</v>
      </c>
      <c r="B171" s="1" t="s">
        <v>521</v>
      </c>
      <c r="C171" s="1" t="s">
        <v>522</v>
      </c>
      <c r="D171" s="4" t="s">
        <v>523</v>
      </c>
      <c r="E171" s="1" t="s">
        <v>12</v>
      </c>
      <c r="F171" s="1" t="s">
        <v>13</v>
      </c>
      <c r="G171" s="1" t="str">
        <f aca="false">TEXT(A171,"YYYY-MM-DD")</f>
        <v>2024-07-27</v>
      </c>
      <c r="H171" s="1" t="str">
        <f aca="false">TEXT(A171,"HH:MM")</f>
        <v>06:26</v>
      </c>
      <c r="I171" s="0" t="str">
        <f aca="false">IFERROR(VLOOKUP(C171,threat_intelligence!A:B,2,0),"CLEAN")</f>
        <v>CLEAN</v>
      </c>
    </row>
    <row r="172" customFormat="false" ht="12.8" hidden="false" customHeight="false" outlineLevel="0" collapsed="false">
      <c r="A172" s="3" t="n">
        <v>45499.3965277778</v>
      </c>
      <c r="B172" s="1" t="s">
        <v>524</v>
      </c>
      <c r="C172" s="1" t="s">
        <v>525</v>
      </c>
      <c r="D172" s="4" t="s">
        <v>526</v>
      </c>
      <c r="E172" s="1" t="s">
        <v>17</v>
      </c>
      <c r="F172" s="1" t="s">
        <v>25</v>
      </c>
      <c r="G172" s="1" t="str">
        <f aca="false">TEXT(A172,"YYYY-MM-DD")</f>
        <v>2024-07-26</v>
      </c>
      <c r="H172" s="1" t="str">
        <f aca="false">TEXT(A172,"HH:MM")</f>
        <v>09:31</v>
      </c>
      <c r="I172" s="0" t="str">
        <f aca="false">IFERROR(VLOOKUP(C172,threat_intelligence!A:B,2,0),"CLEAN")</f>
        <v>CLEAN</v>
      </c>
    </row>
    <row r="173" customFormat="false" ht="12.8" hidden="false" customHeight="false" outlineLevel="0" collapsed="false">
      <c r="A173" s="3" t="n">
        <v>45500.075</v>
      </c>
      <c r="B173" s="1" t="s">
        <v>527</v>
      </c>
      <c r="C173" s="1" t="s">
        <v>528</v>
      </c>
      <c r="D173" s="4" t="s">
        <v>529</v>
      </c>
      <c r="E173" s="1" t="s">
        <v>12</v>
      </c>
      <c r="F173" s="1" t="s">
        <v>25</v>
      </c>
      <c r="G173" s="1" t="str">
        <f aca="false">TEXT(A173,"YYYY-MM-DD")</f>
        <v>2024-07-27</v>
      </c>
      <c r="H173" s="1" t="str">
        <f aca="false">TEXT(A173,"HH:MM")</f>
        <v>01:48</v>
      </c>
      <c r="I173" s="0" t="str">
        <f aca="false">IFERROR(VLOOKUP(C173,threat_intelligence!A:B,2,0),"CLEAN")</f>
        <v>CLEAN</v>
      </c>
    </row>
    <row r="174" customFormat="false" ht="12.8" hidden="false" customHeight="false" outlineLevel="0" collapsed="false">
      <c r="A174" s="3" t="n">
        <v>45499.8069444444</v>
      </c>
      <c r="B174" s="1" t="s">
        <v>530</v>
      </c>
      <c r="C174" s="1" t="s">
        <v>531</v>
      </c>
      <c r="D174" s="4" t="s">
        <v>532</v>
      </c>
      <c r="E174" s="1" t="s">
        <v>12</v>
      </c>
      <c r="F174" s="1" t="s">
        <v>13</v>
      </c>
      <c r="G174" s="1" t="str">
        <f aca="false">TEXT(A174,"YYYY-MM-DD")</f>
        <v>2024-07-26</v>
      </c>
      <c r="H174" s="1" t="str">
        <f aca="false">TEXT(A174,"HH:MM")</f>
        <v>19:22</v>
      </c>
      <c r="I174" s="0" t="str">
        <f aca="false">IFERROR(VLOOKUP(C174,threat_intelligence!A:B,2,0),"CLEAN")</f>
        <v>CLEAN</v>
      </c>
    </row>
    <row r="175" customFormat="false" ht="12.8" hidden="false" customHeight="false" outlineLevel="0" collapsed="false">
      <c r="A175" s="3" t="n">
        <v>45499.6715277778</v>
      </c>
      <c r="B175" s="1" t="s">
        <v>533</v>
      </c>
      <c r="C175" s="1" t="s">
        <v>534</v>
      </c>
      <c r="D175" s="4" t="s">
        <v>535</v>
      </c>
      <c r="E175" s="1" t="s">
        <v>21</v>
      </c>
      <c r="F175" s="1" t="s">
        <v>13</v>
      </c>
      <c r="G175" s="1" t="str">
        <f aca="false">TEXT(A175,"YYYY-MM-DD")</f>
        <v>2024-07-26</v>
      </c>
      <c r="H175" s="1" t="str">
        <f aca="false">TEXT(A175,"HH:MM")</f>
        <v>16:07</v>
      </c>
      <c r="I175" s="0" t="str">
        <f aca="false">IFERROR(VLOOKUP(C175,threat_intelligence!A:B,2,0),"CLEAN")</f>
        <v>CLEAN</v>
      </c>
    </row>
    <row r="176" customFormat="false" ht="12.8" hidden="false" customHeight="false" outlineLevel="0" collapsed="false">
      <c r="A176" s="3" t="n">
        <v>45499.9895833333</v>
      </c>
      <c r="B176" s="1" t="s">
        <v>536</v>
      </c>
      <c r="C176" s="1" t="s">
        <v>537</v>
      </c>
      <c r="D176" s="4" t="s">
        <v>538</v>
      </c>
      <c r="E176" s="1" t="s">
        <v>12</v>
      </c>
      <c r="F176" s="1" t="s">
        <v>25</v>
      </c>
      <c r="G176" s="1" t="str">
        <f aca="false">TEXT(A176,"YYYY-MM-DD")</f>
        <v>2024-07-26</v>
      </c>
      <c r="H176" s="1" t="str">
        <f aca="false">TEXT(A176,"HH:MM")</f>
        <v>23:45</v>
      </c>
      <c r="I176" s="0" t="str">
        <f aca="false">IFERROR(VLOOKUP(C176,threat_intelligence!A:B,2,0),"CLEAN")</f>
        <v>CLEAN</v>
      </c>
    </row>
    <row r="177" customFormat="false" ht="12.8" hidden="false" customHeight="false" outlineLevel="0" collapsed="false">
      <c r="A177" s="3" t="n">
        <v>45499.4583333333</v>
      </c>
      <c r="B177" s="1" t="s">
        <v>539</v>
      </c>
      <c r="C177" s="1" t="s">
        <v>540</v>
      </c>
      <c r="D177" s="4" t="s">
        <v>541</v>
      </c>
      <c r="E177" s="1" t="s">
        <v>12</v>
      </c>
      <c r="F177" s="1" t="s">
        <v>25</v>
      </c>
      <c r="G177" s="1" t="str">
        <f aca="false">TEXT(A177,"YYYY-MM-DD")</f>
        <v>2024-07-26</v>
      </c>
      <c r="H177" s="1" t="str">
        <f aca="false">TEXT(A177,"HH:MM")</f>
        <v>11:00</v>
      </c>
      <c r="I177" s="0" t="str">
        <f aca="false">IFERROR(VLOOKUP(C177,threat_intelligence!A:B,2,0),"CLEAN")</f>
        <v>CLEAN</v>
      </c>
    </row>
    <row r="178" customFormat="false" ht="12.8" hidden="false" customHeight="false" outlineLevel="0" collapsed="false">
      <c r="A178" s="3" t="n">
        <v>45499.8625</v>
      </c>
      <c r="B178" s="1" t="s">
        <v>542</v>
      </c>
      <c r="C178" s="1" t="s">
        <v>543</v>
      </c>
      <c r="D178" s="4" t="s">
        <v>544</v>
      </c>
      <c r="E178" s="1" t="s">
        <v>21</v>
      </c>
      <c r="F178" s="1" t="s">
        <v>13</v>
      </c>
      <c r="G178" s="1" t="str">
        <f aca="false">TEXT(A178,"YYYY-MM-DD")</f>
        <v>2024-07-26</v>
      </c>
      <c r="H178" s="1" t="str">
        <f aca="false">TEXT(A178,"HH:MM")</f>
        <v>20:42</v>
      </c>
      <c r="I178" s="0" t="str">
        <f aca="false">IFERROR(VLOOKUP(C178,threat_intelligence!A:B,2,0),"CLEAN")</f>
        <v>CLEAN</v>
      </c>
    </row>
    <row r="179" customFormat="false" ht="12.8" hidden="false" customHeight="false" outlineLevel="0" collapsed="false">
      <c r="A179" s="3" t="n">
        <v>45499.5701388889</v>
      </c>
      <c r="B179" s="1" t="s">
        <v>545</v>
      </c>
      <c r="C179" s="1" t="s">
        <v>546</v>
      </c>
      <c r="D179" s="4" t="s">
        <v>547</v>
      </c>
      <c r="E179" s="1" t="s">
        <v>17</v>
      </c>
      <c r="F179" s="1" t="s">
        <v>13</v>
      </c>
      <c r="G179" s="1" t="str">
        <f aca="false">TEXT(A179,"YYYY-MM-DD")</f>
        <v>2024-07-26</v>
      </c>
      <c r="H179" s="1" t="str">
        <f aca="false">TEXT(A179,"HH:MM")</f>
        <v>13:41</v>
      </c>
      <c r="I179" s="0" t="str">
        <f aca="false">IFERROR(VLOOKUP(C179,threat_intelligence!A:B,2,0),"CLEAN")</f>
        <v>CLEAN</v>
      </c>
    </row>
    <row r="180" customFormat="false" ht="12.8" hidden="false" customHeight="false" outlineLevel="0" collapsed="false">
      <c r="A180" s="3" t="n">
        <v>45500.2180555556</v>
      </c>
      <c r="B180" s="1" t="s">
        <v>548</v>
      </c>
      <c r="C180" s="1" t="s">
        <v>549</v>
      </c>
      <c r="D180" s="4" t="s">
        <v>550</v>
      </c>
      <c r="E180" s="1" t="s">
        <v>21</v>
      </c>
      <c r="F180" s="1" t="s">
        <v>25</v>
      </c>
      <c r="G180" s="1" t="str">
        <f aca="false">TEXT(A180,"YYYY-MM-DD")</f>
        <v>2024-07-27</v>
      </c>
      <c r="H180" s="1" t="str">
        <f aca="false">TEXT(A180,"HH:MM")</f>
        <v>05:14</v>
      </c>
      <c r="I180" s="0" t="str">
        <f aca="false">IFERROR(VLOOKUP(C180,threat_intelligence!A:B,2,0),"CLEAN")</f>
        <v>CLEAN</v>
      </c>
    </row>
    <row r="181" customFormat="false" ht="12.8" hidden="false" customHeight="false" outlineLevel="0" collapsed="false">
      <c r="A181" s="3" t="n">
        <v>45499.8395833333</v>
      </c>
      <c r="B181" s="1" t="s">
        <v>551</v>
      </c>
      <c r="C181" s="1" t="s">
        <v>552</v>
      </c>
      <c r="D181" s="4" t="s">
        <v>553</v>
      </c>
      <c r="E181" s="1" t="s">
        <v>12</v>
      </c>
      <c r="F181" s="1" t="s">
        <v>25</v>
      </c>
      <c r="G181" s="1" t="str">
        <f aca="false">TEXT(A181,"YYYY-MM-DD")</f>
        <v>2024-07-26</v>
      </c>
      <c r="H181" s="1" t="str">
        <f aca="false">TEXT(A181,"HH:MM")</f>
        <v>20:09</v>
      </c>
      <c r="I181" s="0" t="str">
        <f aca="false">IFERROR(VLOOKUP(C181,threat_intelligence!A:B,2,0),"CLEAN")</f>
        <v>CLEAN</v>
      </c>
    </row>
    <row r="182" customFormat="false" ht="12.8" hidden="false" customHeight="false" outlineLevel="0" collapsed="false">
      <c r="A182" s="3" t="n">
        <v>45499.60625</v>
      </c>
      <c r="B182" s="1" t="s">
        <v>554</v>
      </c>
      <c r="C182" s="1" t="s">
        <v>555</v>
      </c>
      <c r="D182" s="4" t="s">
        <v>556</v>
      </c>
      <c r="E182" s="1" t="s">
        <v>21</v>
      </c>
      <c r="F182" s="1" t="s">
        <v>25</v>
      </c>
      <c r="G182" s="1" t="str">
        <f aca="false">TEXT(A182,"YYYY-MM-DD")</f>
        <v>2024-07-26</v>
      </c>
      <c r="H182" s="1" t="str">
        <f aca="false">TEXT(A182,"HH:MM")</f>
        <v>14:33</v>
      </c>
      <c r="I182" s="0" t="str">
        <f aca="false">IFERROR(VLOOKUP(C182,threat_intelligence!A:B,2,0),"CLEAN")</f>
        <v>CLEAN</v>
      </c>
    </row>
    <row r="183" customFormat="false" ht="12.8" hidden="false" customHeight="false" outlineLevel="0" collapsed="false">
      <c r="A183" s="3" t="n">
        <v>45500.0833333333</v>
      </c>
      <c r="B183" s="1" t="s">
        <v>557</v>
      </c>
      <c r="C183" s="1" t="s">
        <v>558</v>
      </c>
      <c r="D183" s="4" t="s">
        <v>559</v>
      </c>
      <c r="E183" s="1" t="s">
        <v>12</v>
      </c>
      <c r="F183" s="1" t="s">
        <v>13</v>
      </c>
      <c r="G183" s="1" t="str">
        <f aca="false">TEXT(A183,"YYYY-MM-DD")</f>
        <v>2024-07-27</v>
      </c>
      <c r="H183" s="1" t="str">
        <f aca="false">TEXT(A183,"HH:MM")</f>
        <v>02:00</v>
      </c>
      <c r="I183" s="0" t="str">
        <f aca="false">IFERROR(VLOOKUP(C183,threat_intelligence!A:B,2,0),"CLEAN")</f>
        <v>CLEAN</v>
      </c>
    </row>
    <row r="184" customFormat="false" ht="12.8" hidden="false" customHeight="false" outlineLevel="0" collapsed="false">
      <c r="A184" s="3" t="n">
        <v>45499.7875</v>
      </c>
      <c r="B184" s="1" t="s">
        <v>560</v>
      </c>
      <c r="C184" s="1" t="s">
        <v>561</v>
      </c>
      <c r="D184" s="4" t="s">
        <v>562</v>
      </c>
      <c r="E184" s="1" t="s">
        <v>17</v>
      </c>
      <c r="F184" s="1" t="s">
        <v>25</v>
      </c>
      <c r="G184" s="1" t="str">
        <f aca="false">TEXT(A184,"YYYY-MM-DD")</f>
        <v>2024-07-26</v>
      </c>
      <c r="H184" s="1" t="str">
        <f aca="false">TEXT(A184,"HH:MM")</f>
        <v>18:54</v>
      </c>
      <c r="I184" s="0" t="str">
        <f aca="false">IFERROR(VLOOKUP(C184,threat_intelligence!A:B,2,0),"CLEAN")</f>
        <v>CLEAN</v>
      </c>
    </row>
    <row r="185" customFormat="false" ht="12.8" hidden="false" customHeight="false" outlineLevel="0" collapsed="false">
      <c r="A185" s="3" t="n">
        <v>45499.7430555556</v>
      </c>
      <c r="B185" s="1" t="s">
        <v>563</v>
      </c>
      <c r="C185" s="1" t="s">
        <v>564</v>
      </c>
      <c r="D185" s="4" t="s">
        <v>565</v>
      </c>
      <c r="E185" s="1" t="s">
        <v>17</v>
      </c>
      <c r="F185" s="1" t="s">
        <v>25</v>
      </c>
      <c r="G185" s="1" t="str">
        <f aca="false">TEXT(A185,"YYYY-MM-DD")</f>
        <v>2024-07-26</v>
      </c>
      <c r="H185" s="1" t="str">
        <f aca="false">TEXT(A185,"HH:MM")</f>
        <v>17:50</v>
      </c>
      <c r="I185" s="0" t="str">
        <f aca="false">IFERROR(VLOOKUP(C185,threat_intelligence!A:B,2,0),"CLEAN")</f>
        <v>CLEAN</v>
      </c>
    </row>
    <row r="186" customFormat="false" ht="12.8" hidden="false" customHeight="false" outlineLevel="0" collapsed="false">
      <c r="A186" s="3" t="n">
        <v>45499.4138888889</v>
      </c>
      <c r="B186" s="1" t="s">
        <v>566</v>
      </c>
      <c r="C186" s="1" t="s">
        <v>567</v>
      </c>
      <c r="D186" s="4" t="s">
        <v>568</v>
      </c>
      <c r="E186" s="1" t="s">
        <v>12</v>
      </c>
      <c r="F186" s="1" t="s">
        <v>13</v>
      </c>
      <c r="G186" s="1" t="str">
        <f aca="false">TEXT(A186,"YYYY-MM-DD")</f>
        <v>2024-07-26</v>
      </c>
      <c r="H186" s="1" t="str">
        <f aca="false">TEXT(A186,"HH:MM")</f>
        <v>09:56</v>
      </c>
      <c r="I186" s="0" t="str">
        <f aca="false">IFERROR(VLOOKUP(C186,threat_intelligence!A:B,2,0),"CLEAN")</f>
        <v>CLEAN</v>
      </c>
    </row>
    <row r="187" customFormat="false" ht="12.8" hidden="false" customHeight="false" outlineLevel="0" collapsed="false">
      <c r="A187" s="3" t="n">
        <v>45500.0805555556</v>
      </c>
      <c r="B187" s="1" t="s">
        <v>569</v>
      </c>
      <c r="C187" s="1" t="s">
        <v>570</v>
      </c>
      <c r="D187" s="4" t="s">
        <v>571</v>
      </c>
      <c r="E187" s="1" t="s">
        <v>17</v>
      </c>
      <c r="F187" s="1" t="s">
        <v>13</v>
      </c>
      <c r="G187" s="1" t="str">
        <f aca="false">TEXT(A187,"YYYY-MM-DD")</f>
        <v>2024-07-27</v>
      </c>
      <c r="H187" s="1" t="str">
        <f aca="false">TEXT(A187,"HH:MM")</f>
        <v>01:56</v>
      </c>
      <c r="I187" s="0" t="str">
        <f aca="false">IFERROR(VLOOKUP(C187,threat_intelligence!A:B,2,0),"CLEAN")</f>
        <v>CLEAN</v>
      </c>
    </row>
    <row r="188" customFormat="false" ht="12.8" hidden="false" customHeight="false" outlineLevel="0" collapsed="false">
      <c r="A188" s="3" t="n">
        <v>45499.3791666667</v>
      </c>
      <c r="B188" s="1" t="s">
        <v>572</v>
      </c>
      <c r="C188" s="1" t="s">
        <v>573</v>
      </c>
      <c r="D188" s="4" t="s">
        <v>574</v>
      </c>
      <c r="E188" s="1" t="s">
        <v>17</v>
      </c>
      <c r="F188" s="1" t="s">
        <v>13</v>
      </c>
      <c r="G188" s="1" t="str">
        <f aca="false">TEXT(A188,"YYYY-MM-DD")</f>
        <v>2024-07-26</v>
      </c>
      <c r="H188" s="1" t="str">
        <f aca="false">TEXT(A188,"HH:MM")</f>
        <v>09:06</v>
      </c>
      <c r="I188" s="0" t="str">
        <f aca="false">IFERROR(VLOOKUP(C188,threat_intelligence!A:B,2,0),"CLEAN")</f>
        <v>CLEAN</v>
      </c>
    </row>
    <row r="189" customFormat="false" ht="12.8" hidden="false" customHeight="false" outlineLevel="0" collapsed="false">
      <c r="A189" s="3" t="n">
        <v>45499.3979166667</v>
      </c>
      <c r="B189" s="1" t="s">
        <v>575</v>
      </c>
      <c r="C189" s="1" t="s">
        <v>576</v>
      </c>
      <c r="D189" s="4" t="s">
        <v>577</v>
      </c>
      <c r="E189" s="1" t="s">
        <v>21</v>
      </c>
      <c r="F189" s="1" t="s">
        <v>13</v>
      </c>
      <c r="G189" s="1" t="str">
        <f aca="false">TEXT(A189,"YYYY-MM-DD")</f>
        <v>2024-07-26</v>
      </c>
      <c r="H189" s="1" t="str">
        <f aca="false">TEXT(A189,"HH:MM")</f>
        <v>09:33</v>
      </c>
      <c r="I189" s="0" t="str">
        <f aca="false">IFERROR(VLOOKUP(C189,threat_intelligence!A:B,2,0),"CLEAN")</f>
        <v>CLEAN</v>
      </c>
    </row>
    <row r="190" customFormat="false" ht="12.8" hidden="false" customHeight="false" outlineLevel="0" collapsed="false">
      <c r="A190" s="3" t="n">
        <v>45499.7097222222</v>
      </c>
      <c r="B190" s="1" t="s">
        <v>578</v>
      </c>
      <c r="C190" s="1" t="s">
        <v>579</v>
      </c>
      <c r="D190" s="4" t="s">
        <v>580</v>
      </c>
      <c r="E190" s="1" t="s">
        <v>21</v>
      </c>
      <c r="F190" s="1" t="s">
        <v>13</v>
      </c>
      <c r="G190" s="1" t="str">
        <f aca="false">TEXT(A190,"YYYY-MM-DD")</f>
        <v>2024-07-26</v>
      </c>
      <c r="H190" s="1" t="str">
        <f aca="false">TEXT(A190,"HH:MM")</f>
        <v>17:02</v>
      </c>
      <c r="I190" s="0" t="str">
        <f aca="false">IFERROR(VLOOKUP(C190,threat_intelligence!A:B,2,0),"CLEAN")</f>
        <v>CLEAN</v>
      </c>
    </row>
    <row r="191" customFormat="false" ht="12.8" hidden="false" customHeight="false" outlineLevel="0" collapsed="false">
      <c r="A191" s="3" t="n">
        <v>45500.2354166667</v>
      </c>
      <c r="B191" s="1" t="s">
        <v>581</v>
      </c>
      <c r="C191" s="1" t="s">
        <v>582</v>
      </c>
      <c r="D191" s="4" t="s">
        <v>583</v>
      </c>
      <c r="E191" s="1" t="s">
        <v>17</v>
      </c>
      <c r="F191" s="1" t="s">
        <v>25</v>
      </c>
      <c r="G191" s="1" t="str">
        <f aca="false">TEXT(A191,"YYYY-MM-DD")</f>
        <v>2024-07-27</v>
      </c>
      <c r="H191" s="1" t="str">
        <f aca="false">TEXT(A191,"HH:MM")</f>
        <v>05:39</v>
      </c>
      <c r="I191" s="0" t="str">
        <f aca="false">IFERROR(VLOOKUP(C191,threat_intelligence!A:B,2,0),"CLEAN")</f>
        <v>CLEAN</v>
      </c>
    </row>
    <row r="192" customFormat="false" ht="12.8" hidden="false" customHeight="false" outlineLevel="0" collapsed="false">
      <c r="A192" s="3" t="n">
        <v>45499.4347222222</v>
      </c>
      <c r="B192" s="1" t="s">
        <v>584</v>
      </c>
      <c r="C192" s="1" t="s">
        <v>585</v>
      </c>
      <c r="D192" s="4" t="s">
        <v>586</v>
      </c>
      <c r="E192" s="1" t="s">
        <v>12</v>
      </c>
      <c r="F192" s="1" t="s">
        <v>13</v>
      </c>
      <c r="G192" s="1" t="str">
        <f aca="false">TEXT(A192,"YYYY-MM-DD")</f>
        <v>2024-07-26</v>
      </c>
      <c r="H192" s="1" t="str">
        <f aca="false">TEXT(A192,"HH:MM")</f>
        <v>10:26</v>
      </c>
      <c r="I192" s="0" t="str">
        <f aca="false">IFERROR(VLOOKUP(C192,threat_intelligence!A:B,2,0),"CLEAN")</f>
        <v>CLEAN</v>
      </c>
    </row>
    <row r="193" customFormat="false" ht="12.8" hidden="false" customHeight="false" outlineLevel="0" collapsed="false">
      <c r="A193" s="3" t="n">
        <v>45499.7854166667</v>
      </c>
      <c r="B193" s="1" t="s">
        <v>587</v>
      </c>
      <c r="C193" s="1" t="s">
        <v>588</v>
      </c>
      <c r="D193" s="4" t="s">
        <v>589</v>
      </c>
      <c r="E193" s="1" t="s">
        <v>17</v>
      </c>
      <c r="F193" s="1" t="s">
        <v>13</v>
      </c>
      <c r="G193" s="1" t="str">
        <f aca="false">TEXT(A193,"YYYY-MM-DD")</f>
        <v>2024-07-26</v>
      </c>
      <c r="H193" s="1" t="str">
        <f aca="false">TEXT(A193,"HH:MM")</f>
        <v>18:51</v>
      </c>
      <c r="I193" s="0" t="str">
        <f aca="false">IFERROR(VLOOKUP(C193,threat_intelligence!A:B,2,0),"CLEAN")</f>
        <v>CLEAN</v>
      </c>
    </row>
    <row r="194" customFormat="false" ht="12.8" hidden="false" customHeight="false" outlineLevel="0" collapsed="false">
      <c r="A194" s="3" t="n">
        <v>45499.8145833333</v>
      </c>
      <c r="B194" s="1" t="s">
        <v>590</v>
      </c>
      <c r="C194" s="1" t="s">
        <v>591</v>
      </c>
      <c r="D194" s="4" t="s">
        <v>592</v>
      </c>
      <c r="E194" s="1" t="s">
        <v>21</v>
      </c>
      <c r="F194" s="1" t="s">
        <v>25</v>
      </c>
      <c r="G194" s="1" t="str">
        <f aca="false">TEXT(A194,"YYYY-MM-DD")</f>
        <v>2024-07-26</v>
      </c>
      <c r="H194" s="1" t="str">
        <f aca="false">TEXT(A194,"HH:MM")</f>
        <v>19:33</v>
      </c>
      <c r="I194" s="0" t="str">
        <f aca="false">IFERROR(VLOOKUP(C194,threat_intelligence!A:B,2,0),"CLEAN")</f>
        <v>CLEAN</v>
      </c>
    </row>
    <row r="195" customFormat="false" ht="12.8" hidden="false" customHeight="false" outlineLevel="0" collapsed="false">
      <c r="A195" s="3" t="n">
        <v>45499.4791666667</v>
      </c>
      <c r="B195" s="1" t="s">
        <v>593</v>
      </c>
      <c r="C195" s="1" t="s">
        <v>594</v>
      </c>
      <c r="D195" s="4" t="s">
        <v>595</v>
      </c>
      <c r="E195" s="1" t="s">
        <v>21</v>
      </c>
      <c r="F195" s="1" t="s">
        <v>13</v>
      </c>
      <c r="G195" s="1" t="str">
        <f aca="false">TEXT(A195,"YYYY-MM-DD")</f>
        <v>2024-07-26</v>
      </c>
      <c r="H195" s="1" t="str">
        <f aca="false">TEXT(A195,"HH:MM")</f>
        <v>11:30</v>
      </c>
      <c r="I195" s="0" t="str">
        <f aca="false">IFERROR(VLOOKUP(C195,threat_intelligence!A:B,2,0),"CLEAN")</f>
        <v>CLEAN</v>
      </c>
    </row>
    <row r="196" customFormat="false" ht="12.8" hidden="false" customHeight="false" outlineLevel="0" collapsed="false">
      <c r="A196" s="3" t="n">
        <v>45499.5</v>
      </c>
      <c r="B196" s="1" t="s">
        <v>596</v>
      </c>
      <c r="C196" s="1" t="s">
        <v>597</v>
      </c>
      <c r="D196" s="4" t="s">
        <v>598</v>
      </c>
      <c r="E196" s="1" t="s">
        <v>17</v>
      </c>
      <c r="F196" s="1" t="s">
        <v>13</v>
      </c>
      <c r="G196" s="1" t="str">
        <f aca="false">TEXT(A196,"YYYY-MM-DD")</f>
        <v>2024-07-26</v>
      </c>
      <c r="H196" s="1" t="str">
        <f aca="false">TEXT(A196,"HH:MM")</f>
        <v>12:00</v>
      </c>
      <c r="I196" s="0" t="str">
        <f aca="false">IFERROR(VLOOKUP(C196,threat_intelligence!A:B,2,0),"CLEAN")</f>
        <v>CLEAN</v>
      </c>
    </row>
    <row r="197" customFormat="false" ht="12.8" hidden="false" customHeight="false" outlineLevel="0" collapsed="false">
      <c r="A197" s="3" t="n">
        <v>45499.3944444444</v>
      </c>
      <c r="B197" s="1" t="s">
        <v>599</v>
      </c>
      <c r="C197" s="1" t="s">
        <v>600</v>
      </c>
      <c r="D197" s="4" t="s">
        <v>601</v>
      </c>
      <c r="E197" s="1" t="s">
        <v>12</v>
      </c>
      <c r="F197" s="1" t="s">
        <v>13</v>
      </c>
      <c r="G197" s="1" t="str">
        <f aca="false">TEXT(A197,"YYYY-MM-DD")</f>
        <v>2024-07-26</v>
      </c>
      <c r="H197" s="1" t="str">
        <f aca="false">TEXT(A197,"HH:MM")</f>
        <v>09:28</v>
      </c>
      <c r="I197" s="0" t="str">
        <f aca="false">IFERROR(VLOOKUP(C197,threat_intelligence!A:B,2,0),"CLEAN")</f>
        <v>CLEAN</v>
      </c>
    </row>
    <row r="198" customFormat="false" ht="12.8" hidden="false" customHeight="false" outlineLevel="0" collapsed="false">
      <c r="A198" s="3" t="n">
        <v>45500.0638888889</v>
      </c>
      <c r="B198" s="1" t="s">
        <v>602</v>
      </c>
      <c r="C198" s="1" t="s">
        <v>603</v>
      </c>
      <c r="D198" s="4" t="s">
        <v>604</v>
      </c>
      <c r="E198" s="1" t="s">
        <v>21</v>
      </c>
      <c r="F198" s="1" t="s">
        <v>13</v>
      </c>
      <c r="G198" s="1" t="str">
        <f aca="false">TEXT(A198,"YYYY-MM-DD")</f>
        <v>2024-07-27</v>
      </c>
      <c r="H198" s="1" t="str">
        <f aca="false">TEXT(A198,"HH:MM")</f>
        <v>01:32</v>
      </c>
      <c r="I198" s="0" t="str">
        <f aca="false">IFERROR(VLOOKUP(C198,threat_intelligence!A:B,2,0),"CLEAN")</f>
        <v>CLEAN</v>
      </c>
    </row>
    <row r="199" customFormat="false" ht="12.8" hidden="false" customHeight="false" outlineLevel="0" collapsed="false">
      <c r="A199" s="3" t="n">
        <v>45500.1270833333</v>
      </c>
      <c r="B199" s="1" t="s">
        <v>605</v>
      </c>
      <c r="C199" s="1" t="s">
        <v>606</v>
      </c>
      <c r="D199" s="4" t="s">
        <v>607</v>
      </c>
      <c r="E199" s="1" t="s">
        <v>21</v>
      </c>
      <c r="F199" s="1" t="s">
        <v>13</v>
      </c>
      <c r="G199" s="1" t="str">
        <f aca="false">TEXT(A199,"YYYY-MM-DD")</f>
        <v>2024-07-27</v>
      </c>
      <c r="H199" s="1" t="str">
        <f aca="false">TEXT(A199,"HH:MM")</f>
        <v>03:03</v>
      </c>
      <c r="I199" s="0" t="str">
        <f aca="false">IFERROR(VLOOKUP(C199,threat_intelligence!A:B,2,0),"CLEAN")</f>
        <v>CLEAN</v>
      </c>
    </row>
    <row r="200" customFormat="false" ht="12.8" hidden="false" customHeight="false" outlineLevel="0" collapsed="false">
      <c r="A200" s="3" t="n">
        <v>45499.7173611111</v>
      </c>
      <c r="B200" s="1" t="s">
        <v>608</v>
      </c>
      <c r="C200" s="1" t="s">
        <v>609</v>
      </c>
      <c r="D200" s="4" t="s">
        <v>610</v>
      </c>
      <c r="E200" s="1" t="s">
        <v>12</v>
      </c>
      <c r="F200" s="1" t="s">
        <v>25</v>
      </c>
      <c r="G200" s="1" t="str">
        <f aca="false">TEXT(A200,"YYYY-MM-DD")</f>
        <v>2024-07-26</v>
      </c>
      <c r="H200" s="1" t="str">
        <f aca="false">TEXT(A200,"HH:MM")</f>
        <v>17:13</v>
      </c>
      <c r="I200" s="0" t="str">
        <f aca="false">IFERROR(VLOOKUP(C200,threat_intelligence!A:B,2,0),"CLEAN")</f>
        <v>CLEAN</v>
      </c>
    </row>
    <row r="201" customFormat="false" ht="12.8" hidden="false" customHeight="false" outlineLevel="0" collapsed="false">
      <c r="A201" s="3" t="n">
        <v>45500.2215277778</v>
      </c>
      <c r="B201" s="1" t="s">
        <v>611</v>
      </c>
      <c r="C201" s="1" t="s">
        <v>612</v>
      </c>
      <c r="D201" s="4" t="s">
        <v>613</v>
      </c>
      <c r="E201" s="1" t="s">
        <v>21</v>
      </c>
      <c r="F201" s="1" t="s">
        <v>25</v>
      </c>
      <c r="G201" s="1" t="str">
        <f aca="false">TEXT(A201,"YYYY-MM-DD")</f>
        <v>2024-07-27</v>
      </c>
      <c r="H201" s="1" t="str">
        <f aca="false">TEXT(A201,"HH:MM")</f>
        <v>05:19</v>
      </c>
      <c r="I201" s="0" t="str">
        <f aca="false">IFERROR(VLOOKUP(C201,threat_intelligence!A:B,2,0),"CLEAN")</f>
        <v>CLEAN</v>
      </c>
    </row>
    <row r="202" customFormat="false" ht="12.8" hidden="false" customHeight="false" outlineLevel="0" collapsed="false">
      <c r="A202" s="3" t="n">
        <v>45500.1618055556</v>
      </c>
      <c r="B202" s="1" t="s">
        <v>614</v>
      </c>
      <c r="C202" s="1" t="s">
        <v>615</v>
      </c>
      <c r="D202" s="4" t="s">
        <v>616</v>
      </c>
      <c r="E202" s="1" t="s">
        <v>12</v>
      </c>
      <c r="F202" s="1" t="s">
        <v>13</v>
      </c>
      <c r="G202" s="1" t="str">
        <f aca="false">TEXT(A202,"YYYY-MM-DD")</f>
        <v>2024-07-27</v>
      </c>
      <c r="H202" s="1" t="str">
        <f aca="false">TEXT(A202,"HH:MM")</f>
        <v>03:53</v>
      </c>
      <c r="I202" s="0" t="str">
        <f aca="false">IFERROR(VLOOKUP(C202,threat_intelligence!A:B,2,0),"CLEAN")</f>
        <v>CLEAN</v>
      </c>
    </row>
    <row r="203" customFormat="false" ht="12.8" hidden="false" customHeight="false" outlineLevel="0" collapsed="false">
      <c r="A203" s="3" t="n">
        <v>45499.5048611111</v>
      </c>
      <c r="B203" s="1" t="s">
        <v>617</v>
      </c>
      <c r="C203" s="1" t="s">
        <v>618</v>
      </c>
      <c r="D203" s="4" t="s">
        <v>619</v>
      </c>
      <c r="E203" s="1" t="s">
        <v>17</v>
      </c>
      <c r="F203" s="1" t="s">
        <v>13</v>
      </c>
      <c r="G203" s="1" t="str">
        <f aca="false">TEXT(A203,"YYYY-MM-DD")</f>
        <v>2024-07-26</v>
      </c>
      <c r="H203" s="1" t="str">
        <f aca="false">TEXT(A203,"HH:MM")</f>
        <v>12:07</v>
      </c>
      <c r="I203" s="0" t="str">
        <f aca="false">IFERROR(VLOOKUP(C203,threat_intelligence!A:B,2,0),"CLEAN")</f>
        <v>CLEAN</v>
      </c>
    </row>
    <row r="204" customFormat="false" ht="12.8" hidden="false" customHeight="false" outlineLevel="0" collapsed="false">
      <c r="A204" s="3" t="n">
        <v>45499.7888888889</v>
      </c>
      <c r="B204" s="1" t="s">
        <v>620</v>
      </c>
      <c r="C204" s="1" t="s">
        <v>621</v>
      </c>
      <c r="D204" s="4" t="s">
        <v>622</v>
      </c>
      <c r="E204" s="1" t="s">
        <v>17</v>
      </c>
      <c r="F204" s="1" t="s">
        <v>13</v>
      </c>
      <c r="G204" s="1" t="str">
        <f aca="false">TEXT(A204,"YYYY-MM-DD")</f>
        <v>2024-07-26</v>
      </c>
      <c r="H204" s="1" t="str">
        <f aca="false">TEXT(A204,"HH:MM")</f>
        <v>18:56</v>
      </c>
      <c r="I204" s="0" t="str">
        <f aca="false">IFERROR(VLOOKUP(C204,threat_intelligence!A:B,2,0),"CLEAN")</f>
        <v>CLEAN</v>
      </c>
    </row>
    <row r="205" customFormat="false" ht="12.8" hidden="false" customHeight="false" outlineLevel="0" collapsed="false">
      <c r="A205" s="3" t="n">
        <v>45499.6368055556</v>
      </c>
      <c r="B205" s="1" t="s">
        <v>623</v>
      </c>
      <c r="C205" s="1" t="s">
        <v>624</v>
      </c>
      <c r="D205" s="4" t="s">
        <v>625</v>
      </c>
      <c r="E205" s="1" t="s">
        <v>12</v>
      </c>
      <c r="F205" s="1" t="s">
        <v>25</v>
      </c>
      <c r="G205" s="1" t="str">
        <f aca="false">TEXT(A205,"YYYY-MM-DD")</f>
        <v>2024-07-26</v>
      </c>
      <c r="H205" s="1" t="str">
        <f aca="false">TEXT(A205,"HH:MM")</f>
        <v>15:17</v>
      </c>
      <c r="I205" s="0" t="str">
        <f aca="false">IFERROR(VLOOKUP(C205,threat_intelligence!A:B,2,0),"CLEAN")</f>
        <v>CLEAN</v>
      </c>
    </row>
    <row r="206" customFormat="false" ht="12.8" hidden="false" customHeight="false" outlineLevel="0" collapsed="false">
      <c r="A206" s="3" t="n">
        <v>45499.9138888889</v>
      </c>
      <c r="B206" s="1" t="s">
        <v>626</v>
      </c>
      <c r="C206" s="1" t="s">
        <v>627</v>
      </c>
      <c r="D206" s="4" t="s">
        <v>628</v>
      </c>
      <c r="E206" s="1" t="s">
        <v>21</v>
      </c>
      <c r="F206" s="1" t="s">
        <v>25</v>
      </c>
      <c r="G206" s="1" t="str">
        <f aca="false">TEXT(A206,"YYYY-MM-DD")</f>
        <v>2024-07-26</v>
      </c>
      <c r="H206" s="1" t="str">
        <f aca="false">TEXT(A206,"HH:MM")</f>
        <v>21:56</v>
      </c>
      <c r="I206" s="0" t="str">
        <f aca="false">IFERROR(VLOOKUP(C206,threat_intelligence!A:B,2,0),"CLEAN")</f>
        <v>CLEAN</v>
      </c>
    </row>
    <row r="207" customFormat="false" ht="12.8" hidden="false" customHeight="false" outlineLevel="0" collapsed="false">
      <c r="A207" s="3" t="n">
        <v>45499.6680555556</v>
      </c>
      <c r="B207" s="1" t="s">
        <v>629</v>
      </c>
      <c r="C207" s="1" t="s">
        <v>630</v>
      </c>
      <c r="D207" s="4" t="s">
        <v>631</v>
      </c>
      <c r="E207" s="1" t="s">
        <v>21</v>
      </c>
      <c r="F207" s="1" t="s">
        <v>25</v>
      </c>
      <c r="G207" s="1" t="str">
        <f aca="false">TEXT(A207,"YYYY-MM-DD")</f>
        <v>2024-07-26</v>
      </c>
      <c r="H207" s="1" t="str">
        <f aca="false">TEXT(A207,"HH:MM")</f>
        <v>16:02</v>
      </c>
      <c r="I207" s="0" t="str">
        <f aca="false">IFERROR(VLOOKUP(C207,threat_intelligence!A:B,2,0),"CLEAN")</f>
        <v>CLEAN</v>
      </c>
    </row>
    <row r="208" customFormat="false" ht="12.8" hidden="false" customHeight="false" outlineLevel="0" collapsed="false">
      <c r="A208" s="3" t="n">
        <v>45499.9861111111</v>
      </c>
      <c r="B208" s="1" t="s">
        <v>632</v>
      </c>
      <c r="C208" s="1" t="s">
        <v>633</v>
      </c>
      <c r="D208" s="4" t="s">
        <v>634</v>
      </c>
      <c r="E208" s="1" t="s">
        <v>21</v>
      </c>
      <c r="F208" s="1" t="s">
        <v>25</v>
      </c>
      <c r="G208" s="1" t="str">
        <f aca="false">TEXT(A208,"YYYY-MM-DD")</f>
        <v>2024-07-26</v>
      </c>
      <c r="H208" s="1" t="str">
        <f aca="false">TEXT(A208,"HH:MM")</f>
        <v>23:40</v>
      </c>
      <c r="I208" s="0" t="str">
        <f aca="false">IFERROR(VLOOKUP(C208,threat_intelligence!A:B,2,0),"CLEAN")</f>
        <v>CLEAN</v>
      </c>
    </row>
    <row r="209" customFormat="false" ht="12.8" hidden="false" customHeight="false" outlineLevel="0" collapsed="false">
      <c r="A209" s="3" t="n">
        <v>45499.7131944445</v>
      </c>
      <c r="B209" s="1" t="s">
        <v>635</v>
      </c>
      <c r="C209" s="1" t="s">
        <v>636</v>
      </c>
      <c r="D209" s="4" t="s">
        <v>637</v>
      </c>
      <c r="E209" s="1" t="s">
        <v>21</v>
      </c>
      <c r="F209" s="1" t="s">
        <v>25</v>
      </c>
      <c r="G209" s="1" t="str">
        <f aca="false">TEXT(A209,"YYYY-MM-DD")</f>
        <v>2024-07-26</v>
      </c>
      <c r="H209" s="1" t="str">
        <f aca="false">TEXT(A209,"HH:MM")</f>
        <v>17:07</v>
      </c>
      <c r="I209" s="0" t="str">
        <f aca="false">IFERROR(VLOOKUP(C209,threat_intelligence!A:B,2,0),"CLEAN")</f>
        <v>CLEAN</v>
      </c>
    </row>
    <row r="210" customFormat="false" ht="12.8" hidden="false" customHeight="false" outlineLevel="0" collapsed="false">
      <c r="A210" s="3" t="n">
        <v>45500.1041666667</v>
      </c>
      <c r="B210" s="1" t="s">
        <v>638</v>
      </c>
      <c r="C210" s="1" t="s">
        <v>639</v>
      </c>
      <c r="D210" s="4" t="s">
        <v>640</v>
      </c>
      <c r="E210" s="1" t="s">
        <v>21</v>
      </c>
      <c r="F210" s="1" t="s">
        <v>25</v>
      </c>
      <c r="G210" s="1" t="str">
        <f aca="false">TEXT(A210,"YYYY-MM-DD")</f>
        <v>2024-07-27</v>
      </c>
      <c r="H210" s="1" t="str">
        <f aca="false">TEXT(A210,"HH:MM")</f>
        <v>02:30</v>
      </c>
      <c r="I210" s="0" t="str">
        <f aca="false">IFERROR(VLOOKUP(C210,threat_intelligence!A:B,2,0),"CLEAN")</f>
        <v>CLEAN</v>
      </c>
    </row>
    <row r="211" customFormat="false" ht="12.8" hidden="false" customHeight="false" outlineLevel="0" collapsed="false">
      <c r="A211" s="3" t="n">
        <v>45499.9388888889</v>
      </c>
      <c r="B211" s="1" t="s">
        <v>641</v>
      </c>
      <c r="C211" s="1" t="s">
        <v>642</v>
      </c>
      <c r="D211" s="4" t="s">
        <v>643</v>
      </c>
      <c r="E211" s="1" t="s">
        <v>21</v>
      </c>
      <c r="F211" s="1" t="s">
        <v>13</v>
      </c>
      <c r="G211" s="1" t="str">
        <f aca="false">TEXT(A211,"YYYY-MM-DD")</f>
        <v>2024-07-26</v>
      </c>
      <c r="H211" s="1" t="str">
        <f aca="false">TEXT(A211,"HH:MM")</f>
        <v>22:32</v>
      </c>
      <c r="I211" s="0" t="str">
        <f aca="false">IFERROR(VLOOKUP(C211,threat_intelligence!A:B,2,0),"CLEAN")</f>
        <v>CLEAN</v>
      </c>
    </row>
    <row r="212" customFormat="false" ht="12.8" hidden="false" customHeight="false" outlineLevel="0" collapsed="false">
      <c r="A212" s="3" t="n">
        <v>45500.2090277778</v>
      </c>
      <c r="B212" s="1" t="s">
        <v>644</v>
      </c>
      <c r="C212" s="1" t="s">
        <v>645</v>
      </c>
      <c r="D212" s="4" t="s">
        <v>646</v>
      </c>
      <c r="E212" s="1" t="s">
        <v>17</v>
      </c>
      <c r="F212" s="1" t="s">
        <v>13</v>
      </c>
      <c r="G212" s="1" t="str">
        <f aca="false">TEXT(A212,"YYYY-MM-DD")</f>
        <v>2024-07-27</v>
      </c>
      <c r="H212" s="1" t="str">
        <f aca="false">TEXT(A212,"HH:MM")</f>
        <v>05:01</v>
      </c>
      <c r="I212" s="0" t="str">
        <f aca="false">IFERROR(VLOOKUP(C212,threat_intelligence!A:B,2,0),"CLEAN")</f>
        <v>CLEAN</v>
      </c>
    </row>
    <row r="213" customFormat="false" ht="12.8" hidden="false" customHeight="false" outlineLevel="0" collapsed="false">
      <c r="A213" s="3" t="n">
        <v>45499.3777777778</v>
      </c>
      <c r="B213" s="1" t="s">
        <v>647</v>
      </c>
      <c r="C213" s="1" t="s">
        <v>648</v>
      </c>
      <c r="D213" s="4" t="s">
        <v>649</v>
      </c>
      <c r="E213" s="1" t="s">
        <v>12</v>
      </c>
      <c r="F213" s="1" t="s">
        <v>25</v>
      </c>
      <c r="G213" s="1" t="str">
        <f aca="false">TEXT(A213,"YYYY-MM-DD")</f>
        <v>2024-07-26</v>
      </c>
      <c r="H213" s="1" t="str">
        <f aca="false">TEXT(A213,"HH:MM")</f>
        <v>09:04</v>
      </c>
      <c r="I213" s="0" t="str">
        <f aca="false">IFERROR(VLOOKUP(C213,threat_intelligence!A:B,2,0),"CLEAN")</f>
        <v>CLEAN</v>
      </c>
    </row>
    <row r="214" customFormat="false" ht="12.8" hidden="false" customHeight="false" outlineLevel="0" collapsed="false">
      <c r="A214" s="3" t="n">
        <v>45500.1993055556</v>
      </c>
      <c r="B214" s="1" t="s">
        <v>650</v>
      </c>
      <c r="C214" s="1" t="s">
        <v>651</v>
      </c>
      <c r="D214" s="4" t="s">
        <v>652</v>
      </c>
      <c r="E214" s="1" t="s">
        <v>12</v>
      </c>
      <c r="F214" s="1" t="s">
        <v>25</v>
      </c>
      <c r="G214" s="1" t="str">
        <f aca="false">TEXT(A214,"YYYY-MM-DD")</f>
        <v>2024-07-27</v>
      </c>
      <c r="H214" s="1" t="str">
        <f aca="false">TEXT(A214,"HH:MM")</f>
        <v>04:47</v>
      </c>
      <c r="I214" s="0" t="str">
        <f aca="false">IFERROR(VLOOKUP(C214,threat_intelligence!A:B,2,0),"CLEAN")</f>
        <v>CLEAN</v>
      </c>
    </row>
    <row r="215" customFormat="false" ht="12.8" hidden="false" customHeight="false" outlineLevel="0" collapsed="false">
      <c r="A215" s="3" t="n">
        <v>45499.9138888889</v>
      </c>
      <c r="B215" s="1" t="s">
        <v>653</v>
      </c>
      <c r="C215" s="1" t="s">
        <v>654</v>
      </c>
      <c r="D215" s="4" t="s">
        <v>655</v>
      </c>
      <c r="E215" s="1" t="s">
        <v>12</v>
      </c>
      <c r="F215" s="1" t="s">
        <v>13</v>
      </c>
      <c r="G215" s="1" t="str">
        <f aca="false">TEXT(A215,"YYYY-MM-DD")</f>
        <v>2024-07-26</v>
      </c>
      <c r="H215" s="1" t="str">
        <f aca="false">TEXT(A215,"HH:MM")</f>
        <v>21:56</v>
      </c>
      <c r="I215" s="0" t="str">
        <f aca="false">IFERROR(VLOOKUP(C215,threat_intelligence!A:B,2,0),"CLEAN")</f>
        <v>CLEAN</v>
      </c>
    </row>
    <row r="216" customFormat="false" ht="12.8" hidden="false" customHeight="false" outlineLevel="0" collapsed="false">
      <c r="A216" s="3" t="n">
        <v>45499.6243055556</v>
      </c>
      <c r="B216" s="1" t="s">
        <v>656</v>
      </c>
      <c r="C216" s="1" t="s">
        <v>657</v>
      </c>
      <c r="D216" s="4" t="s">
        <v>658</v>
      </c>
      <c r="E216" s="1" t="s">
        <v>21</v>
      </c>
      <c r="F216" s="1" t="s">
        <v>25</v>
      </c>
      <c r="G216" s="1" t="str">
        <f aca="false">TEXT(A216,"YYYY-MM-DD")</f>
        <v>2024-07-26</v>
      </c>
      <c r="H216" s="1" t="str">
        <f aca="false">TEXT(A216,"HH:MM")</f>
        <v>14:59</v>
      </c>
      <c r="I216" s="0" t="str">
        <f aca="false">IFERROR(VLOOKUP(C216,threat_intelligence!A:B,2,0),"CLEAN")</f>
        <v>CLEAN</v>
      </c>
    </row>
    <row r="217" customFormat="false" ht="12.8" hidden="false" customHeight="false" outlineLevel="0" collapsed="false">
      <c r="A217" s="3" t="n">
        <v>45499.5590277778</v>
      </c>
      <c r="B217" s="1" t="s">
        <v>659</v>
      </c>
      <c r="C217" s="1" t="s">
        <v>660</v>
      </c>
      <c r="D217" s="4" t="s">
        <v>661</v>
      </c>
      <c r="E217" s="1" t="s">
        <v>17</v>
      </c>
      <c r="F217" s="1" t="s">
        <v>25</v>
      </c>
      <c r="G217" s="1" t="str">
        <f aca="false">TEXT(A217,"YYYY-MM-DD")</f>
        <v>2024-07-26</v>
      </c>
      <c r="H217" s="1" t="str">
        <f aca="false">TEXT(A217,"HH:MM")</f>
        <v>13:25</v>
      </c>
      <c r="I217" s="0" t="str">
        <f aca="false">IFERROR(VLOOKUP(C217,threat_intelligence!A:B,2,0),"CLEAN")</f>
        <v>CLEAN</v>
      </c>
    </row>
    <row r="218" customFormat="false" ht="12.8" hidden="false" customHeight="false" outlineLevel="0" collapsed="false">
      <c r="A218" s="3" t="n">
        <v>45499.8611111111</v>
      </c>
      <c r="B218" s="1" t="s">
        <v>662</v>
      </c>
      <c r="C218" s="1" t="s">
        <v>663</v>
      </c>
      <c r="D218" s="4" t="s">
        <v>664</v>
      </c>
      <c r="E218" s="1" t="s">
        <v>17</v>
      </c>
      <c r="F218" s="1" t="s">
        <v>25</v>
      </c>
      <c r="G218" s="1" t="str">
        <f aca="false">TEXT(A218,"YYYY-MM-DD")</f>
        <v>2024-07-26</v>
      </c>
      <c r="H218" s="1" t="str">
        <f aca="false">TEXT(A218,"HH:MM")</f>
        <v>20:40</v>
      </c>
      <c r="I218" s="0" t="str">
        <f aca="false">IFERROR(VLOOKUP(C218,threat_intelligence!A:B,2,0),"CLEAN")</f>
        <v>CLEAN</v>
      </c>
    </row>
    <row r="219" customFormat="false" ht="12.8" hidden="false" customHeight="false" outlineLevel="0" collapsed="false">
      <c r="A219" s="3" t="n">
        <v>45500.1215277778</v>
      </c>
      <c r="B219" s="1" t="s">
        <v>665</v>
      </c>
      <c r="C219" s="1" t="s">
        <v>666</v>
      </c>
      <c r="D219" s="4" t="s">
        <v>667</v>
      </c>
      <c r="E219" s="1" t="s">
        <v>21</v>
      </c>
      <c r="F219" s="1" t="s">
        <v>13</v>
      </c>
      <c r="G219" s="1" t="str">
        <f aca="false">TEXT(A219,"YYYY-MM-DD")</f>
        <v>2024-07-27</v>
      </c>
      <c r="H219" s="1" t="str">
        <f aca="false">TEXT(A219,"HH:MM")</f>
        <v>02:55</v>
      </c>
      <c r="I219" s="0" t="str">
        <f aca="false">IFERROR(VLOOKUP(C219,threat_intelligence!A:B,2,0),"CLEAN")</f>
        <v>CLEAN</v>
      </c>
    </row>
    <row r="220" customFormat="false" ht="12.8" hidden="false" customHeight="false" outlineLevel="0" collapsed="false">
      <c r="A220" s="3" t="n">
        <v>45500.0215277778</v>
      </c>
      <c r="B220" s="1" t="s">
        <v>668</v>
      </c>
      <c r="C220" s="1" t="s">
        <v>669</v>
      </c>
      <c r="D220" s="4" t="s">
        <v>670</v>
      </c>
      <c r="E220" s="1" t="s">
        <v>17</v>
      </c>
      <c r="F220" s="1" t="s">
        <v>13</v>
      </c>
      <c r="G220" s="1" t="str">
        <f aca="false">TEXT(A220,"YYYY-MM-DD")</f>
        <v>2024-07-27</v>
      </c>
      <c r="H220" s="1" t="str">
        <f aca="false">TEXT(A220,"HH:MM")</f>
        <v>00:31</v>
      </c>
      <c r="I220" s="0" t="str">
        <f aca="false">IFERROR(VLOOKUP(C220,threat_intelligence!A:B,2,0),"CLEAN")</f>
        <v>CLEAN</v>
      </c>
    </row>
    <row r="221" customFormat="false" ht="12.8" hidden="false" customHeight="false" outlineLevel="0" collapsed="false">
      <c r="A221" s="3" t="n">
        <v>45500.2097222222</v>
      </c>
      <c r="B221" s="1" t="s">
        <v>671</v>
      </c>
      <c r="C221" s="1" t="s">
        <v>672</v>
      </c>
      <c r="D221" s="4" t="s">
        <v>673</v>
      </c>
      <c r="E221" s="1" t="s">
        <v>12</v>
      </c>
      <c r="F221" s="1" t="s">
        <v>13</v>
      </c>
      <c r="G221" s="1" t="str">
        <f aca="false">TEXT(A221,"YYYY-MM-DD")</f>
        <v>2024-07-27</v>
      </c>
      <c r="H221" s="1" t="str">
        <f aca="false">TEXT(A221,"HH:MM")</f>
        <v>05:02</v>
      </c>
      <c r="I221" s="0" t="str">
        <f aca="false">IFERROR(VLOOKUP(C221,threat_intelligence!A:B,2,0),"CLEAN")</f>
        <v>CLEAN</v>
      </c>
    </row>
    <row r="222" customFormat="false" ht="12.8" hidden="false" customHeight="false" outlineLevel="0" collapsed="false">
      <c r="A222" s="3" t="n">
        <v>45500.1923611111</v>
      </c>
      <c r="B222" s="1" t="s">
        <v>674</v>
      </c>
      <c r="C222" s="1" t="s">
        <v>675</v>
      </c>
      <c r="D222" s="4" t="s">
        <v>676</v>
      </c>
      <c r="E222" s="1" t="s">
        <v>12</v>
      </c>
      <c r="F222" s="1" t="s">
        <v>13</v>
      </c>
      <c r="G222" s="1" t="str">
        <f aca="false">TEXT(A222,"YYYY-MM-DD")</f>
        <v>2024-07-27</v>
      </c>
      <c r="H222" s="1" t="str">
        <f aca="false">TEXT(A222,"HH:MM")</f>
        <v>04:37</v>
      </c>
      <c r="I222" s="0" t="str">
        <f aca="false">IFERROR(VLOOKUP(C222,threat_intelligence!A:B,2,0),"CLEAN")</f>
        <v>CLEAN</v>
      </c>
    </row>
    <row r="223" customFormat="false" ht="12.8" hidden="false" customHeight="false" outlineLevel="0" collapsed="false">
      <c r="A223" s="3" t="n">
        <v>45499.5534722222</v>
      </c>
      <c r="B223" s="1" t="s">
        <v>677</v>
      </c>
      <c r="C223" s="1" t="s">
        <v>678</v>
      </c>
      <c r="D223" s="4" t="s">
        <v>679</v>
      </c>
      <c r="E223" s="1" t="s">
        <v>17</v>
      </c>
      <c r="F223" s="1" t="s">
        <v>25</v>
      </c>
      <c r="G223" s="1" t="str">
        <f aca="false">TEXT(A223,"YYYY-MM-DD")</f>
        <v>2024-07-26</v>
      </c>
      <c r="H223" s="1" t="str">
        <f aca="false">TEXT(A223,"HH:MM")</f>
        <v>13:17</v>
      </c>
      <c r="I223" s="0" t="str">
        <f aca="false">IFERROR(VLOOKUP(C223,threat_intelligence!A:B,2,0),"CLEAN")</f>
        <v>CLEAN</v>
      </c>
    </row>
    <row r="224" customFormat="false" ht="12.8" hidden="false" customHeight="false" outlineLevel="0" collapsed="false">
      <c r="A224" s="3" t="n">
        <v>45499.9375</v>
      </c>
      <c r="B224" s="1" t="s">
        <v>680</v>
      </c>
      <c r="C224" s="1" t="s">
        <v>681</v>
      </c>
      <c r="D224" s="4" t="s">
        <v>682</v>
      </c>
      <c r="E224" s="1" t="s">
        <v>21</v>
      </c>
      <c r="F224" s="1" t="s">
        <v>25</v>
      </c>
      <c r="G224" s="1" t="str">
        <f aca="false">TEXT(A224,"YYYY-MM-DD")</f>
        <v>2024-07-26</v>
      </c>
      <c r="H224" s="1" t="str">
        <f aca="false">TEXT(A224,"HH:MM")</f>
        <v>22:30</v>
      </c>
      <c r="I224" s="0" t="str">
        <f aca="false">IFERROR(VLOOKUP(C224,threat_intelligence!A:B,2,0),"CLEAN")</f>
        <v>CLEAN</v>
      </c>
    </row>
    <row r="225" customFormat="false" ht="12.8" hidden="false" customHeight="false" outlineLevel="0" collapsed="false">
      <c r="A225" s="3" t="n">
        <v>45499.55625</v>
      </c>
      <c r="B225" s="1" t="s">
        <v>683</v>
      </c>
      <c r="C225" s="1" t="s">
        <v>684</v>
      </c>
      <c r="D225" s="4" t="s">
        <v>685</v>
      </c>
      <c r="E225" s="1" t="s">
        <v>21</v>
      </c>
      <c r="F225" s="1" t="s">
        <v>13</v>
      </c>
      <c r="G225" s="1" t="str">
        <f aca="false">TEXT(A225,"YYYY-MM-DD")</f>
        <v>2024-07-26</v>
      </c>
      <c r="H225" s="1" t="str">
        <f aca="false">TEXT(A225,"HH:MM")</f>
        <v>13:21</v>
      </c>
      <c r="I225" s="0" t="str">
        <f aca="false">IFERROR(VLOOKUP(C225,threat_intelligence!A:B,2,0),"CLEAN")</f>
        <v>CLEAN</v>
      </c>
    </row>
    <row r="226" customFormat="false" ht="12.8" hidden="false" customHeight="false" outlineLevel="0" collapsed="false">
      <c r="A226" s="3" t="n">
        <v>45499.4743055556</v>
      </c>
      <c r="B226" s="1" t="s">
        <v>686</v>
      </c>
      <c r="C226" s="1" t="s">
        <v>687</v>
      </c>
      <c r="D226" s="4" t="s">
        <v>688</v>
      </c>
      <c r="E226" s="1" t="s">
        <v>17</v>
      </c>
      <c r="F226" s="1" t="s">
        <v>25</v>
      </c>
      <c r="G226" s="1" t="str">
        <f aca="false">TEXT(A226,"YYYY-MM-DD")</f>
        <v>2024-07-26</v>
      </c>
      <c r="H226" s="1" t="str">
        <f aca="false">TEXT(A226,"HH:MM")</f>
        <v>11:23</v>
      </c>
      <c r="I226" s="0" t="str">
        <f aca="false">IFERROR(VLOOKUP(C226,threat_intelligence!A:B,2,0),"CLEAN")</f>
        <v>CLEAN</v>
      </c>
    </row>
    <row r="227" customFormat="false" ht="12.8" hidden="false" customHeight="false" outlineLevel="0" collapsed="false">
      <c r="A227" s="3" t="n">
        <v>45499.8131944444</v>
      </c>
      <c r="B227" s="1" t="s">
        <v>689</v>
      </c>
      <c r="C227" s="1" t="s">
        <v>690</v>
      </c>
      <c r="D227" s="4" t="s">
        <v>691</v>
      </c>
      <c r="E227" s="1" t="s">
        <v>12</v>
      </c>
      <c r="F227" s="1" t="s">
        <v>13</v>
      </c>
      <c r="G227" s="1" t="str">
        <f aca="false">TEXT(A227,"YYYY-MM-DD")</f>
        <v>2024-07-26</v>
      </c>
      <c r="H227" s="1" t="str">
        <f aca="false">TEXT(A227,"HH:MM")</f>
        <v>19:31</v>
      </c>
      <c r="I227" s="0" t="str">
        <f aca="false">IFERROR(VLOOKUP(C227,threat_intelligence!A:B,2,0),"CLEAN")</f>
        <v>CLEAN</v>
      </c>
    </row>
    <row r="228" customFormat="false" ht="12.8" hidden="false" customHeight="false" outlineLevel="0" collapsed="false">
      <c r="A228" s="3" t="n">
        <v>45500.0277777778</v>
      </c>
      <c r="B228" s="1" t="s">
        <v>692</v>
      </c>
      <c r="C228" s="1" t="s">
        <v>693</v>
      </c>
      <c r="D228" s="4" t="s">
        <v>694</v>
      </c>
      <c r="E228" s="1" t="s">
        <v>21</v>
      </c>
      <c r="F228" s="1" t="s">
        <v>13</v>
      </c>
      <c r="G228" s="1" t="str">
        <f aca="false">TEXT(A228,"YYYY-MM-DD")</f>
        <v>2024-07-27</v>
      </c>
      <c r="H228" s="1" t="str">
        <f aca="false">TEXT(A228,"HH:MM")</f>
        <v>00:40</v>
      </c>
      <c r="I228" s="0" t="str">
        <f aca="false">IFERROR(VLOOKUP(C228,threat_intelligence!A:B,2,0),"CLEAN")</f>
        <v>CLEAN</v>
      </c>
    </row>
    <row r="229" customFormat="false" ht="12.8" hidden="false" customHeight="false" outlineLevel="0" collapsed="false">
      <c r="A229" s="3" t="n">
        <v>45500.09375</v>
      </c>
      <c r="B229" s="1" t="s">
        <v>695</v>
      </c>
      <c r="C229" s="1" t="s">
        <v>696</v>
      </c>
      <c r="D229" s="4" t="s">
        <v>697</v>
      </c>
      <c r="E229" s="1" t="s">
        <v>21</v>
      </c>
      <c r="F229" s="1" t="s">
        <v>13</v>
      </c>
      <c r="G229" s="1" t="str">
        <f aca="false">TEXT(A229,"YYYY-MM-DD")</f>
        <v>2024-07-27</v>
      </c>
      <c r="H229" s="1" t="str">
        <f aca="false">TEXT(A229,"HH:MM")</f>
        <v>02:15</v>
      </c>
      <c r="I229" s="0" t="str">
        <f aca="false">IFERROR(VLOOKUP(C229,threat_intelligence!A:B,2,0),"CLEAN")</f>
        <v>CLEAN</v>
      </c>
    </row>
    <row r="230" customFormat="false" ht="12.8" hidden="false" customHeight="false" outlineLevel="0" collapsed="false">
      <c r="A230" s="3" t="n">
        <v>45500.0645833333</v>
      </c>
      <c r="B230" s="1" t="s">
        <v>698</v>
      </c>
      <c r="C230" s="1" t="s">
        <v>699</v>
      </c>
      <c r="D230" s="4" t="s">
        <v>700</v>
      </c>
      <c r="E230" s="1" t="s">
        <v>21</v>
      </c>
      <c r="F230" s="1" t="s">
        <v>25</v>
      </c>
      <c r="G230" s="1" t="str">
        <f aca="false">TEXT(A230,"YYYY-MM-DD")</f>
        <v>2024-07-27</v>
      </c>
      <c r="H230" s="1" t="str">
        <f aca="false">TEXT(A230,"HH:MM")</f>
        <v>01:33</v>
      </c>
      <c r="I230" s="0" t="str">
        <f aca="false">IFERROR(VLOOKUP(C230,threat_intelligence!A:B,2,0),"CLEAN")</f>
        <v>CLEAN</v>
      </c>
    </row>
    <row r="231" customFormat="false" ht="12.8" hidden="false" customHeight="false" outlineLevel="0" collapsed="false">
      <c r="A231" s="3" t="n">
        <v>45499.94375</v>
      </c>
      <c r="B231" s="1" t="s">
        <v>701</v>
      </c>
      <c r="C231" s="1" t="s">
        <v>702</v>
      </c>
      <c r="D231" s="4" t="s">
        <v>703</v>
      </c>
      <c r="E231" s="1" t="s">
        <v>12</v>
      </c>
      <c r="F231" s="1" t="s">
        <v>13</v>
      </c>
      <c r="G231" s="1" t="str">
        <f aca="false">TEXT(A231,"YYYY-MM-DD")</f>
        <v>2024-07-26</v>
      </c>
      <c r="H231" s="1" t="str">
        <f aca="false">TEXT(A231,"HH:MM")</f>
        <v>22:39</v>
      </c>
      <c r="I231" s="0" t="str">
        <f aca="false">IFERROR(VLOOKUP(C231,threat_intelligence!A:B,2,0),"CLEAN")</f>
        <v>CLEAN</v>
      </c>
    </row>
    <row r="232" customFormat="false" ht="12.8" hidden="false" customHeight="false" outlineLevel="0" collapsed="false">
      <c r="A232" s="3" t="n">
        <v>45500.0138888889</v>
      </c>
      <c r="B232" s="1" t="s">
        <v>704</v>
      </c>
      <c r="C232" s="1" t="s">
        <v>705</v>
      </c>
      <c r="D232" s="4" t="s">
        <v>706</v>
      </c>
      <c r="E232" s="1" t="s">
        <v>21</v>
      </c>
      <c r="F232" s="1" t="s">
        <v>25</v>
      </c>
      <c r="G232" s="1" t="str">
        <f aca="false">TEXT(A232,"YYYY-MM-DD")</f>
        <v>2024-07-27</v>
      </c>
      <c r="H232" s="1" t="str">
        <f aca="false">TEXT(A232,"HH:MM")</f>
        <v>00:20</v>
      </c>
      <c r="I232" s="0" t="str">
        <f aca="false">IFERROR(VLOOKUP(C232,threat_intelligence!A:B,2,0),"CLEAN")</f>
        <v>CLEAN</v>
      </c>
    </row>
    <row r="233" customFormat="false" ht="12.8" hidden="false" customHeight="false" outlineLevel="0" collapsed="false">
      <c r="A233" s="3" t="n">
        <v>45500.1652777778</v>
      </c>
      <c r="B233" s="1" t="s">
        <v>707</v>
      </c>
      <c r="C233" s="1" t="s">
        <v>708</v>
      </c>
      <c r="D233" s="4" t="s">
        <v>709</v>
      </c>
      <c r="E233" s="1" t="s">
        <v>21</v>
      </c>
      <c r="F233" s="1" t="s">
        <v>25</v>
      </c>
      <c r="G233" s="1" t="str">
        <f aca="false">TEXT(A233,"YYYY-MM-DD")</f>
        <v>2024-07-27</v>
      </c>
      <c r="H233" s="1" t="str">
        <f aca="false">TEXT(A233,"HH:MM")</f>
        <v>03:58</v>
      </c>
      <c r="I233" s="0" t="str">
        <f aca="false">IFERROR(VLOOKUP(C233,threat_intelligence!A:B,2,0),"CLEAN")</f>
        <v>CLEAN</v>
      </c>
    </row>
    <row r="234" customFormat="false" ht="12.8" hidden="false" customHeight="false" outlineLevel="0" collapsed="false">
      <c r="A234" s="3" t="n">
        <v>45500.2972222222</v>
      </c>
      <c r="B234" s="1" t="s">
        <v>710</v>
      </c>
      <c r="C234" s="1" t="s">
        <v>711</v>
      </c>
      <c r="D234" s="4" t="s">
        <v>712</v>
      </c>
      <c r="E234" s="1" t="s">
        <v>21</v>
      </c>
      <c r="F234" s="1" t="s">
        <v>13</v>
      </c>
      <c r="G234" s="1" t="str">
        <f aca="false">TEXT(A234,"YYYY-MM-DD")</f>
        <v>2024-07-27</v>
      </c>
      <c r="H234" s="1" t="str">
        <f aca="false">TEXT(A234,"HH:MM")</f>
        <v>07:08</v>
      </c>
      <c r="I234" s="0" t="str">
        <f aca="false">IFERROR(VLOOKUP(C234,threat_intelligence!A:B,2,0),"CLEAN")</f>
        <v>CLEAN</v>
      </c>
    </row>
    <row r="235" customFormat="false" ht="12.8" hidden="false" customHeight="false" outlineLevel="0" collapsed="false">
      <c r="A235" s="3" t="n">
        <v>45500.2847222222</v>
      </c>
      <c r="B235" s="1" t="s">
        <v>713</v>
      </c>
      <c r="C235" s="1" t="s">
        <v>714</v>
      </c>
      <c r="D235" s="4" t="s">
        <v>715</v>
      </c>
      <c r="E235" s="1" t="s">
        <v>21</v>
      </c>
      <c r="F235" s="1" t="s">
        <v>13</v>
      </c>
      <c r="G235" s="1" t="str">
        <f aca="false">TEXT(A235,"YYYY-MM-DD")</f>
        <v>2024-07-27</v>
      </c>
      <c r="H235" s="1" t="str">
        <f aca="false">TEXT(A235,"HH:MM")</f>
        <v>06:50</v>
      </c>
      <c r="I235" s="0" t="str">
        <f aca="false">IFERROR(VLOOKUP(C235,threat_intelligence!A:B,2,0),"CLEAN")</f>
        <v>CLEAN</v>
      </c>
    </row>
    <row r="236" customFormat="false" ht="12.8" hidden="false" customHeight="false" outlineLevel="0" collapsed="false">
      <c r="A236" s="3" t="n">
        <v>45499.7958333333</v>
      </c>
      <c r="B236" s="1" t="s">
        <v>716</v>
      </c>
      <c r="C236" s="1" t="s">
        <v>717</v>
      </c>
      <c r="D236" s="4" t="s">
        <v>718</v>
      </c>
      <c r="E236" s="1" t="s">
        <v>21</v>
      </c>
      <c r="F236" s="1" t="s">
        <v>13</v>
      </c>
      <c r="G236" s="1" t="str">
        <f aca="false">TEXT(A236,"YYYY-MM-DD")</f>
        <v>2024-07-26</v>
      </c>
      <c r="H236" s="1" t="str">
        <f aca="false">TEXT(A236,"HH:MM")</f>
        <v>19:06</v>
      </c>
      <c r="I236" s="0" t="str">
        <f aca="false">IFERROR(VLOOKUP(C236,threat_intelligence!A:B,2,0),"CLEAN")</f>
        <v>CLEAN</v>
      </c>
    </row>
    <row r="237" customFormat="false" ht="12.8" hidden="false" customHeight="false" outlineLevel="0" collapsed="false">
      <c r="A237" s="3" t="n">
        <v>45499.5909722222</v>
      </c>
      <c r="B237" s="1" t="s">
        <v>719</v>
      </c>
      <c r="C237" s="1" t="s">
        <v>720</v>
      </c>
      <c r="D237" s="4" t="s">
        <v>721</v>
      </c>
      <c r="E237" s="1" t="s">
        <v>17</v>
      </c>
      <c r="F237" s="1" t="s">
        <v>25</v>
      </c>
      <c r="G237" s="1" t="str">
        <f aca="false">TEXT(A237,"YYYY-MM-DD")</f>
        <v>2024-07-26</v>
      </c>
      <c r="H237" s="1" t="str">
        <f aca="false">TEXT(A237,"HH:MM")</f>
        <v>14:11</v>
      </c>
      <c r="I237" s="0" t="str">
        <f aca="false">IFERROR(VLOOKUP(C237,threat_intelligence!A:B,2,0),"CLEAN")</f>
        <v>CLEAN</v>
      </c>
    </row>
    <row r="238" customFormat="false" ht="12.8" hidden="false" customHeight="false" outlineLevel="0" collapsed="false">
      <c r="A238" s="3" t="n">
        <v>45500.2395833333</v>
      </c>
      <c r="B238" s="1" t="s">
        <v>722</v>
      </c>
      <c r="C238" s="1" t="s">
        <v>723</v>
      </c>
      <c r="D238" s="4" t="s">
        <v>724</v>
      </c>
      <c r="E238" s="1" t="s">
        <v>12</v>
      </c>
      <c r="F238" s="1" t="s">
        <v>25</v>
      </c>
      <c r="G238" s="1" t="str">
        <f aca="false">TEXT(A238,"YYYY-MM-DD")</f>
        <v>2024-07-27</v>
      </c>
      <c r="H238" s="1" t="str">
        <f aca="false">TEXT(A238,"HH:MM")</f>
        <v>05:45</v>
      </c>
      <c r="I238" s="0" t="str">
        <f aca="false">IFERROR(VLOOKUP(C238,threat_intelligence!A:B,2,0),"CLEAN")</f>
        <v>CLEAN</v>
      </c>
    </row>
    <row r="239" customFormat="false" ht="12.8" hidden="false" customHeight="false" outlineLevel="0" collapsed="false">
      <c r="A239" s="3" t="n">
        <v>45499.5861111111</v>
      </c>
      <c r="B239" s="1" t="s">
        <v>725</v>
      </c>
      <c r="C239" s="1" t="s">
        <v>726</v>
      </c>
      <c r="D239" s="4" t="s">
        <v>727</v>
      </c>
      <c r="E239" s="1" t="s">
        <v>17</v>
      </c>
      <c r="F239" s="1" t="s">
        <v>25</v>
      </c>
      <c r="G239" s="1" t="str">
        <f aca="false">TEXT(A239,"YYYY-MM-DD")</f>
        <v>2024-07-26</v>
      </c>
      <c r="H239" s="1" t="str">
        <f aca="false">TEXT(A239,"HH:MM")</f>
        <v>14:04</v>
      </c>
      <c r="I239" s="0" t="str">
        <f aca="false">IFERROR(VLOOKUP(C239,threat_intelligence!A:B,2,0),"CLEAN")</f>
        <v>CLEAN</v>
      </c>
    </row>
    <row r="240" customFormat="false" ht="12.8" hidden="false" customHeight="false" outlineLevel="0" collapsed="false">
      <c r="A240" s="3" t="n">
        <v>45499.6736111111</v>
      </c>
      <c r="B240" s="1" t="s">
        <v>728</v>
      </c>
      <c r="C240" s="1" t="s">
        <v>729</v>
      </c>
      <c r="D240" s="4" t="s">
        <v>730</v>
      </c>
      <c r="E240" s="1" t="s">
        <v>21</v>
      </c>
      <c r="F240" s="1" t="s">
        <v>25</v>
      </c>
      <c r="G240" s="1" t="str">
        <f aca="false">TEXT(A240,"YYYY-MM-DD")</f>
        <v>2024-07-26</v>
      </c>
      <c r="H240" s="1" t="str">
        <f aca="false">TEXT(A240,"HH:MM")</f>
        <v>16:10</v>
      </c>
      <c r="I240" s="0" t="str">
        <f aca="false">IFERROR(VLOOKUP(C240,threat_intelligence!A:B,2,0),"CLEAN")</f>
        <v>CLEAN</v>
      </c>
    </row>
    <row r="241" customFormat="false" ht="12.8" hidden="false" customHeight="false" outlineLevel="0" collapsed="false">
      <c r="A241" s="3" t="n">
        <v>45500.0215277778</v>
      </c>
      <c r="B241" s="1" t="s">
        <v>731</v>
      </c>
      <c r="C241" s="1" t="s">
        <v>732</v>
      </c>
      <c r="D241" s="4" t="s">
        <v>733</v>
      </c>
      <c r="E241" s="1" t="s">
        <v>21</v>
      </c>
      <c r="F241" s="1" t="s">
        <v>13</v>
      </c>
      <c r="G241" s="1" t="str">
        <f aca="false">TEXT(A241,"YYYY-MM-DD")</f>
        <v>2024-07-27</v>
      </c>
      <c r="H241" s="1" t="str">
        <f aca="false">TEXT(A241,"HH:MM")</f>
        <v>00:31</v>
      </c>
      <c r="I241" s="0" t="str">
        <f aca="false">IFERROR(VLOOKUP(C241,threat_intelligence!A:B,2,0),"CLEAN")</f>
        <v>CLEAN</v>
      </c>
    </row>
    <row r="242" customFormat="false" ht="12.8" hidden="false" customHeight="false" outlineLevel="0" collapsed="false">
      <c r="A242" s="3" t="n">
        <v>45499.83125</v>
      </c>
      <c r="B242" s="1" t="s">
        <v>734</v>
      </c>
      <c r="C242" s="1" t="s">
        <v>735</v>
      </c>
      <c r="D242" s="4" t="s">
        <v>736</v>
      </c>
      <c r="E242" s="1" t="s">
        <v>17</v>
      </c>
      <c r="F242" s="1" t="s">
        <v>25</v>
      </c>
      <c r="G242" s="1" t="str">
        <f aca="false">TEXT(A242,"YYYY-MM-DD")</f>
        <v>2024-07-26</v>
      </c>
      <c r="H242" s="1" t="str">
        <f aca="false">TEXT(A242,"HH:MM")</f>
        <v>19:57</v>
      </c>
      <c r="I242" s="0" t="str">
        <f aca="false">IFERROR(VLOOKUP(C242,threat_intelligence!A:B,2,0),"CLEAN")</f>
        <v>CLEAN</v>
      </c>
    </row>
    <row r="243" customFormat="false" ht="12.8" hidden="false" customHeight="false" outlineLevel="0" collapsed="false">
      <c r="A243" s="3" t="n">
        <v>45499.6208333333</v>
      </c>
      <c r="B243" s="1" t="s">
        <v>737</v>
      </c>
      <c r="C243" s="1" t="s">
        <v>738</v>
      </c>
      <c r="D243" s="4" t="s">
        <v>739</v>
      </c>
      <c r="E243" s="1" t="s">
        <v>21</v>
      </c>
      <c r="F243" s="1" t="s">
        <v>13</v>
      </c>
      <c r="G243" s="1" t="str">
        <f aca="false">TEXT(A243,"YYYY-MM-DD")</f>
        <v>2024-07-26</v>
      </c>
      <c r="H243" s="1" t="str">
        <f aca="false">TEXT(A243,"HH:MM")</f>
        <v>14:54</v>
      </c>
      <c r="I243" s="0" t="str">
        <f aca="false">IFERROR(VLOOKUP(C243,threat_intelligence!A:B,2,0),"CLEAN")</f>
        <v>CLEAN</v>
      </c>
    </row>
    <row r="244" customFormat="false" ht="12.8" hidden="false" customHeight="false" outlineLevel="0" collapsed="false">
      <c r="A244" s="3" t="n">
        <v>45499.7673611111</v>
      </c>
      <c r="B244" s="1" t="s">
        <v>740</v>
      </c>
      <c r="C244" s="1" t="s">
        <v>741</v>
      </c>
      <c r="D244" s="4" t="s">
        <v>742</v>
      </c>
      <c r="E244" s="1" t="s">
        <v>21</v>
      </c>
      <c r="F244" s="1" t="s">
        <v>13</v>
      </c>
      <c r="G244" s="1" t="str">
        <f aca="false">TEXT(A244,"YYYY-MM-DD")</f>
        <v>2024-07-26</v>
      </c>
      <c r="H244" s="1" t="str">
        <f aca="false">TEXT(A244,"HH:MM")</f>
        <v>18:25</v>
      </c>
      <c r="I244" s="0" t="str">
        <f aca="false">IFERROR(VLOOKUP(C244,threat_intelligence!A:B,2,0),"CLEAN")</f>
        <v>CLEAN</v>
      </c>
    </row>
    <row r="245" customFormat="false" ht="12.8" hidden="false" customHeight="false" outlineLevel="0" collapsed="false">
      <c r="A245" s="3" t="n">
        <v>45499.6756944444</v>
      </c>
      <c r="B245" s="1" t="s">
        <v>743</v>
      </c>
      <c r="C245" s="1" t="s">
        <v>744</v>
      </c>
      <c r="D245" s="4" t="s">
        <v>745</v>
      </c>
      <c r="E245" s="1" t="s">
        <v>21</v>
      </c>
      <c r="F245" s="1" t="s">
        <v>13</v>
      </c>
      <c r="G245" s="1" t="str">
        <f aca="false">TEXT(A245,"YYYY-MM-DD")</f>
        <v>2024-07-26</v>
      </c>
      <c r="H245" s="1" t="str">
        <f aca="false">TEXT(A245,"HH:MM")</f>
        <v>16:13</v>
      </c>
      <c r="I245" s="0" t="str">
        <f aca="false">IFERROR(VLOOKUP(C245,threat_intelligence!A:B,2,0),"CLEAN")</f>
        <v>CLEAN</v>
      </c>
    </row>
    <row r="246" customFormat="false" ht="12.8" hidden="false" customHeight="false" outlineLevel="0" collapsed="false">
      <c r="A246" s="3" t="n">
        <v>45499.9388888889</v>
      </c>
      <c r="B246" s="1" t="s">
        <v>746</v>
      </c>
      <c r="C246" s="1" t="s">
        <v>747</v>
      </c>
      <c r="D246" s="4" t="s">
        <v>748</v>
      </c>
      <c r="E246" s="1" t="s">
        <v>21</v>
      </c>
      <c r="F246" s="1" t="s">
        <v>25</v>
      </c>
      <c r="G246" s="1" t="str">
        <f aca="false">TEXT(A246,"YYYY-MM-DD")</f>
        <v>2024-07-26</v>
      </c>
      <c r="H246" s="1" t="str">
        <f aca="false">TEXT(A246,"HH:MM")</f>
        <v>22:32</v>
      </c>
      <c r="I246" s="0" t="str">
        <f aca="false">IFERROR(VLOOKUP(C246,threat_intelligence!A:B,2,0),"CLEAN")</f>
        <v>CLEAN</v>
      </c>
    </row>
    <row r="247" customFormat="false" ht="12.8" hidden="false" customHeight="false" outlineLevel="0" collapsed="false">
      <c r="A247" s="3" t="n">
        <v>45499.7597222222</v>
      </c>
      <c r="B247" s="1" t="s">
        <v>749</v>
      </c>
      <c r="C247" s="1" t="s">
        <v>750</v>
      </c>
      <c r="D247" s="4" t="s">
        <v>751</v>
      </c>
      <c r="E247" s="1" t="s">
        <v>12</v>
      </c>
      <c r="F247" s="1" t="s">
        <v>13</v>
      </c>
      <c r="G247" s="1" t="str">
        <f aca="false">TEXT(A247,"YYYY-MM-DD")</f>
        <v>2024-07-26</v>
      </c>
      <c r="H247" s="1" t="str">
        <f aca="false">TEXT(A247,"HH:MM")</f>
        <v>18:14</v>
      </c>
      <c r="I247" s="0" t="str">
        <f aca="false">IFERROR(VLOOKUP(C247,threat_intelligence!A:B,2,0),"CLEAN")</f>
        <v>CLEAN</v>
      </c>
    </row>
    <row r="248" customFormat="false" ht="12.8" hidden="false" customHeight="false" outlineLevel="0" collapsed="false">
      <c r="A248" s="3" t="n">
        <v>45500.2895833333</v>
      </c>
      <c r="B248" s="1" t="s">
        <v>752</v>
      </c>
      <c r="C248" s="1" t="s">
        <v>753</v>
      </c>
      <c r="D248" s="4" t="s">
        <v>754</v>
      </c>
      <c r="E248" s="1" t="s">
        <v>21</v>
      </c>
      <c r="F248" s="1" t="s">
        <v>13</v>
      </c>
      <c r="G248" s="1" t="str">
        <f aca="false">TEXT(A248,"YYYY-MM-DD")</f>
        <v>2024-07-27</v>
      </c>
      <c r="H248" s="1" t="str">
        <f aca="false">TEXT(A248,"HH:MM")</f>
        <v>06:57</v>
      </c>
      <c r="I248" s="0" t="str">
        <f aca="false">IFERROR(VLOOKUP(C248,threat_intelligence!A:B,2,0),"CLEAN")</f>
        <v>CLEAN</v>
      </c>
    </row>
    <row r="249" customFormat="false" ht="12.8" hidden="false" customHeight="false" outlineLevel="0" collapsed="false">
      <c r="A249" s="3" t="n">
        <v>45499.8708333333</v>
      </c>
      <c r="B249" s="1" t="s">
        <v>755</v>
      </c>
      <c r="C249" s="1" t="s">
        <v>756</v>
      </c>
      <c r="D249" s="4" t="s">
        <v>757</v>
      </c>
      <c r="E249" s="1" t="s">
        <v>21</v>
      </c>
      <c r="F249" s="1" t="s">
        <v>25</v>
      </c>
      <c r="G249" s="1" t="str">
        <f aca="false">TEXT(A249,"YYYY-MM-DD")</f>
        <v>2024-07-26</v>
      </c>
      <c r="H249" s="1" t="str">
        <f aca="false">TEXT(A249,"HH:MM")</f>
        <v>20:54</v>
      </c>
      <c r="I249" s="0" t="str">
        <f aca="false">IFERROR(VLOOKUP(C249,threat_intelligence!A:B,2,0),"CLEAN")</f>
        <v>CLEAN</v>
      </c>
    </row>
    <row r="250" customFormat="false" ht="12.8" hidden="false" customHeight="false" outlineLevel="0" collapsed="false">
      <c r="A250" s="3" t="n">
        <v>45499.625</v>
      </c>
      <c r="B250" s="1" t="s">
        <v>758</v>
      </c>
      <c r="C250" s="1" t="s">
        <v>759</v>
      </c>
      <c r="D250" s="4" t="s">
        <v>760</v>
      </c>
      <c r="E250" s="1" t="s">
        <v>12</v>
      </c>
      <c r="F250" s="1" t="s">
        <v>25</v>
      </c>
      <c r="G250" s="1" t="str">
        <f aca="false">TEXT(A250,"YYYY-MM-DD")</f>
        <v>2024-07-26</v>
      </c>
      <c r="H250" s="1" t="str">
        <f aca="false">TEXT(A250,"HH:MM")</f>
        <v>15:00</v>
      </c>
      <c r="I250" s="0" t="str">
        <f aca="false">IFERROR(VLOOKUP(C250,threat_intelligence!A:B,2,0),"CLEAN")</f>
        <v>CLEAN</v>
      </c>
    </row>
    <row r="251" customFormat="false" ht="12.8" hidden="false" customHeight="false" outlineLevel="0" collapsed="false">
      <c r="A251" s="3" t="n">
        <v>45499.4756944444</v>
      </c>
      <c r="B251" s="1" t="s">
        <v>761</v>
      </c>
      <c r="C251" s="1" t="s">
        <v>762</v>
      </c>
      <c r="D251" s="4" t="s">
        <v>763</v>
      </c>
      <c r="E251" s="1" t="s">
        <v>17</v>
      </c>
      <c r="F251" s="1" t="s">
        <v>25</v>
      </c>
      <c r="G251" s="1" t="str">
        <f aca="false">TEXT(A251,"YYYY-MM-DD")</f>
        <v>2024-07-26</v>
      </c>
      <c r="H251" s="1" t="str">
        <f aca="false">TEXT(A251,"HH:MM")</f>
        <v>11:25</v>
      </c>
      <c r="I251" s="0" t="str">
        <f aca="false">IFERROR(VLOOKUP(C251,threat_intelligence!A:B,2,0),"CLEAN")</f>
        <v>CLEAN</v>
      </c>
    </row>
    <row r="252" customFormat="false" ht="12.8" hidden="false" customHeight="false" outlineLevel="0" collapsed="false">
      <c r="A252" s="3" t="n">
        <v>45499.8680555556</v>
      </c>
      <c r="B252" s="1" t="s">
        <v>764</v>
      </c>
      <c r="C252" s="1" t="s">
        <v>765</v>
      </c>
      <c r="D252" s="4" t="s">
        <v>766</v>
      </c>
      <c r="E252" s="1" t="s">
        <v>21</v>
      </c>
      <c r="F252" s="1" t="s">
        <v>13</v>
      </c>
      <c r="G252" s="1" t="str">
        <f aca="false">TEXT(A252,"YYYY-MM-DD")</f>
        <v>2024-07-26</v>
      </c>
      <c r="H252" s="1" t="str">
        <f aca="false">TEXT(A252,"HH:MM")</f>
        <v>20:50</v>
      </c>
      <c r="I252" s="0" t="str">
        <f aca="false">IFERROR(VLOOKUP(C252,threat_intelligence!A:B,2,0),"CLEAN")</f>
        <v>CLEAN</v>
      </c>
    </row>
    <row r="253" customFormat="false" ht="12.8" hidden="false" customHeight="false" outlineLevel="0" collapsed="false">
      <c r="A253" s="3" t="n">
        <v>45500.2645833333</v>
      </c>
      <c r="B253" s="1" t="s">
        <v>767</v>
      </c>
      <c r="C253" s="1" t="s">
        <v>768</v>
      </c>
      <c r="D253" s="4" t="s">
        <v>769</v>
      </c>
      <c r="E253" s="1" t="s">
        <v>12</v>
      </c>
      <c r="F253" s="1" t="s">
        <v>25</v>
      </c>
      <c r="G253" s="1" t="str">
        <f aca="false">TEXT(A253,"YYYY-MM-DD")</f>
        <v>2024-07-27</v>
      </c>
      <c r="H253" s="1" t="str">
        <f aca="false">TEXT(A253,"HH:MM")</f>
        <v>06:21</v>
      </c>
      <c r="I253" s="0" t="str">
        <f aca="false">IFERROR(VLOOKUP(C253,threat_intelligence!A:B,2,0),"CLEAN")</f>
        <v>CLEAN</v>
      </c>
    </row>
    <row r="254" customFormat="false" ht="12.8" hidden="false" customHeight="false" outlineLevel="0" collapsed="false">
      <c r="A254" s="3" t="n">
        <v>45499.7944444444</v>
      </c>
      <c r="B254" s="1" t="s">
        <v>770</v>
      </c>
      <c r="C254" s="1" t="s">
        <v>771</v>
      </c>
      <c r="D254" s="4" t="s">
        <v>772</v>
      </c>
      <c r="E254" s="1" t="s">
        <v>21</v>
      </c>
      <c r="F254" s="1" t="s">
        <v>25</v>
      </c>
      <c r="G254" s="1" t="str">
        <f aca="false">TEXT(A254,"YYYY-MM-DD")</f>
        <v>2024-07-26</v>
      </c>
      <c r="H254" s="1" t="str">
        <f aca="false">TEXT(A254,"HH:MM")</f>
        <v>19:04</v>
      </c>
      <c r="I254" s="0" t="str">
        <f aca="false">IFERROR(VLOOKUP(C254,threat_intelligence!A:B,2,0),"CLEAN")</f>
        <v>CLEAN</v>
      </c>
    </row>
    <row r="255" customFormat="false" ht="12.8" hidden="false" customHeight="false" outlineLevel="0" collapsed="false">
      <c r="A255" s="3" t="n">
        <v>45499.6881944444</v>
      </c>
      <c r="B255" s="1" t="s">
        <v>773</v>
      </c>
      <c r="C255" s="1" t="s">
        <v>774</v>
      </c>
      <c r="D255" s="4" t="s">
        <v>775</v>
      </c>
      <c r="E255" s="1" t="s">
        <v>17</v>
      </c>
      <c r="F255" s="1" t="s">
        <v>13</v>
      </c>
      <c r="G255" s="1" t="str">
        <f aca="false">TEXT(A255,"YYYY-MM-DD")</f>
        <v>2024-07-26</v>
      </c>
      <c r="H255" s="1" t="str">
        <f aca="false">TEXT(A255,"HH:MM")</f>
        <v>16:31</v>
      </c>
      <c r="I255" s="0" t="str">
        <f aca="false">IFERROR(VLOOKUP(C255,threat_intelligence!A:B,2,0),"CLEAN")</f>
        <v>CLEAN</v>
      </c>
    </row>
    <row r="256" customFormat="false" ht="12.8" hidden="false" customHeight="false" outlineLevel="0" collapsed="false">
      <c r="A256" s="3" t="n">
        <v>45500.2666666667</v>
      </c>
      <c r="B256" s="1" t="s">
        <v>776</v>
      </c>
      <c r="C256" s="1" t="s">
        <v>777</v>
      </c>
      <c r="D256" s="4" t="s">
        <v>778</v>
      </c>
      <c r="E256" s="1" t="s">
        <v>12</v>
      </c>
      <c r="F256" s="1" t="s">
        <v>13</v>
      </c>
      <c r="G256" s="1" t="str">
        <f aca="false">TEXT(A256,"YYYY-MM-DD")</f>
        <v>2024-07-27</v>
      </c>
      <c r="H256" s="1" t="str">
        <f aca="false">TEXT(A256,"HH:MM")</f>
        <v>06:24</v>
      </c>
      <c r="I256" s="0" t="str">
        <f aca="false">IFERROR(VLOOKUP(C256,threat_intelligence!A:B,2,0),"CLEAN")</f>
        <v>CLEAN</v>
      </c>
    </row>
    <row r="257" customFormat="false" ht="12.8" hidden="false" customHeight="false" outlineLevel="0" collapsed="false">
      <c r="A257" s="3" t="n">
        <v>45500.3222222222</v>
      </c>
      <c r="B257" s="1" t="s">
        <v>779</v>
      </c>
      <c r="C257" s="1" t="s">
        <v>780</v>
      </c>
      <c r="D257" s="4" t="s">
        <v>781</v>
      </c>
      <c r="E257" s="1" t="s">
        <v>12</v>
      </c>
      <c r="F257" s="1" t="s">
        <v>13</v>
      </c>
      <c r="G257" s="1" t="str">
        <f aca="false">TEXT(A257,"YYYY-MM-DD")</f>
        <v>2024-07-27</v>
      </c>
      <c r="H257" s="1" t="str">
        <f aca="false">TEXT(A257,"HH:MM")</f>
        <v>07:44</v>
      </c>
      <c r="I257" s="0" t="str">
        <f aca="false">IFERROR(VLOOKUP(C257,threat_intelligence!A:B,2,0),"CLEAN")</f>
        <v>CLEAN</v>
      </c>
    </row>
    <row r="258" customFormat="false" ht="12.8" hidden="false" customHeight="false" outlineLevel="0" collapsed="false">
      <c r="A258" s="3" t="n">
        <v>45499.36875</v>
      </c>
      <c r="B258" s="1" t="s">
        <v>782</v>
      </c>
      <c r="C258" s="1" t="s">
        <v>783</v>
      </c>
      <c r="D258" s="4" t="s">
        <v>784</v>
      </c>
      <c r="E258" s="1" t="s">
        <v>21</v>
      </c>
      <c r="F258" s="1" t="s">
        <v>13</v>
      </c>
      <c r="G258" s="1" t="str">
        <f aca="false">TEXT(A258,"YYYY-MM-DD")</f>
        <v>2024-07-26</v>
      </c>
      <c r="H258" s="1" t="str">
        <f aca="false">TEXT(A258,"HH:MM")</f>
        <v>08:51</v>
      </c>
      <c r="I258" s="0" t="str">
        <f aca="false">IFERROR(VLOOKUP(C258,threat_intelligence!A:B,2,0),"CLEAN")</f>
        <v>CLEAN</v>
      </c>
    </row>
    <row r="259" customFormat="false" ht="12.8" hidden="false" customHeight="false" outlineLevel="0" collapsed="false">
      <c r="A259" s="3" t="n">
        <v>45499.55</v>
      </c>
      <c r="B259" s="1" t="s">
        <v>785</v>
      </c>
      <c r="C259" s="1" t="s">
        <v>786</v>
      </c>
      <c r="D259" s="4" t="s">
        <v>787</v>
      </c>
      <c r="E259" s="1" t="s">
        <v>21</v>
      </c>
      <c r="F259" s="1" t="s">
        <v>25</v>
      </c>
      <c r="G259" s="1" t="str">
        <f aca="false">TEXT(A259,"YYYY-MM-DD")</f>
        <v>2024-07-26</v>
      </c>
      <c r="H259" s="1" t="str">
        <f aca="false">TEXT(A259,"HH:MM")</f>
        <v>13:12</v>
      </c>
      <c r="I259" s="0" t="str">
        <f aca="false">IFERROR(VLOOKUP(C259,threat_intelligence!A:B,2,0),"CLEAN")</f>
        <v>CLEAN</v>
      </c>
    </row>
    <row r="260" customFormat="false" ht="12.8" hidden="false" customHeight="false" outlineLevel="0" collapsed="false">
      <c r="A260" s="3" t="n">
        <v>45499.8618055556</v>
      </c>
      <c r="B260" s="1" t="s">
        <v>788</v>
      </c>
      <c r="C260" s="1" t="s">
        <v>789</v>
      </c>
      <c r="D260" s="4" t="s">
        <v>790</v>
      </c>
      <c r="E260" s="1" t="s">
        <v>12</v>
      </c>
      <c r="F260" s="1" t="s">
        <v>13</v>
      </c>
      <c r="G260" s="1" t="str">
        <f aca="false">TEXT(A260,"YYYY-MM-DD")</f>
        <v>2024-07-26</v>
      </c>
      <c r="H260" s="1" t="str">
        <f aca="false">TEXT(A260,"HH:MM")</f>
        <v>20:41</v>
      </c>
      <c r="I260" s="0" t="str">
        <f aca="false">IFERROR(VLOOKUP(C260,threat_intelligence!A:B,2,0),"CLEAN")</f>
        <v>CLEAN</v>
      </c>
    </row>
    <row r="261" customFormat="false" ht="12.8" hidden="false" customHeight="false" outlineLevel="0" collapsed="false">
      <c r="A261" s="3" t="n">
        <v>45500.1215277778</v>
      </c>
      <c r="B261" s="1" t="s">
        <v>791</v>
      </c>
      <c r="C261" s="1" t="s">
        <v>792</v>
      </c>
      <c r="D261" s="4" t="s">
        <v>793</v>
      </c>
      <c r="E261" s="1" t="s">
        <v>17</v>
      </c>
      <c r="F261" s="1" t="s">
        <v>13</v>
      </c>
      <c r="G261" s="1" t="str">
        <f aca="false">TEXT(A261,"YYYY-MM-DD")</f>
        <v>2024-07-27</v>
      </c>
      <c r="H261" s="1" t="str">
        <f aca="false">TEXT(A261,"HH:MM")</f>
        <v>02:55</v>
      </c>
      <c r="I261" s="0" t="str">
        <f aca="false">IFERROR(VLOOKUP(C261,threat_intelligence!A:B,2,0),"CLEAN")</f>
        <v>CLEAN</v>
      </c>
    </row>
    <row r="262" customFormat="false" ht="12.8" hidden="false" customHeight="false" outlineLevel="0" collapsed="false">
      <c r="A262" s="3" t="n">
        <v>45499.9208333333</v>
      </c>
      <c r="B262" s="1" t="s">
        <v>794</v>
      </c>
      <c r="C262" s="1" t="s">
        <v>795</v>
      </c>
      <c r="D262" s="4" t="s">
        <v>796</v>
      </c>
      <c r="E262" s="1" t="s">
        <v>21</v>
      </c>
      <c r="F262" s="1" t="s">
        <v>25</v>
      </c>
      <c r="G262" s="1" t="str">
        <f aca="false">TEXT(A262,"YYYY-MM-DD")</f>
        <v>2024-07-26</v>
      </c>
      <c r="H262" s="1" t="str">
        <f aca="false">TEXT(A262,"HH:MM")</f>
        <v>22:06</v>
      </c>
      <c r="I262" s="0" t="str">
        <f aca="false">IFERROR(VLOOKUP(C262,threat_intelligence!A:B,2,0),"CLEAN")</f>
        <v>CLEAN</v>
      </c>
    </row>
    <row r="263" customFormat="false" ht="12.8" hidden="false" customHeight="false" outlineLevel="0" collapsed="false">
      <c r="A263" s="3" t="n">
        <v>45500.3118055556</v>
      </c>
      <c r="B263" s="1" t="s">
        <v>797</v>
      </c>
      <c r="C263" s="1" t="s">
        <v>798</v>
      </c>
      <c r="D263" s="4" t="s">
        <v>799</v>
      </c>
      <c r="E263" s="1" t="s">
        <v>12</v>
      </c>
      <c r="F263" s="1" t="s">
        <v>13</v>
      </c>
      <c r="G263" s="1" t="str">
        <f aca="false">TEXT(A263,"YYYY-MM-DD")</f>
        <v>2024-07-27</v>
      </c>
      <c r="H263" s="1" t="str">
        <f aca="false">TEXT(A263,"HH:MM")</f>
        <v>07:29</v>
      </c>
      <c r="I263" s="0" t="str">
        <f aca="false">IFERROR(VLOOKUP(C263,threat_intelligence!A:B,2,0),"CLEAN")</f>
        <v>CLEAN</v>
      </c>
    </row>
    <row r="264" customFormat="false" ht="12.8" hidden="false" customHeight="false" outlineLevel="0" collapsed="false">
      <c r="A264" s="3" t="n">
        <v>45499.5770833333</v>
      </c>
      <c r="B264" s="1" t="s">
        <v>800</v>
      </c>
      <c r="C264" s="1" t="s">
        <v>801</v>
      </c>
      <c r="D264" s="4" t="s">
        <v>802</v>
      </c>
      <c r="E264" s="1" t="s">
        <v>12</v>
      </c>
      <c r="F264" s="1" t="s">
        <v>13</v>
      </c>
      <c r="G264" s="1" t="str">
        <f aca="false">TEXT(A264,"YYYY-MM-DD")</f>
        <v>2024-07-26</v>
      </c>
      <c r="H264" s="1" t="str">
        <f aca="false">TEXT(A264,"HH:MM")</f>
        <v>13:51</v>
      </c>
      <c r="I264" s="0" t="str">
        <f aca="false">IFERROR(VLOOKUP(C264,threat_intelligence!A:B,2,0),"CLEAN")</f>
        <v>CLEAN</v>
      </c>
    </row>
    <row r="265" customFormat="false" ht="12.8" hidden="false" customHeight="false" outlineLevel="0" collapsed="false">
      <c r="A265" s="3" t="n">
        <v>45500.10625</v>
      </c>
      <c r="B265" s="1" t="s">
        <v>803</v>
      </c>
      <c r="C265" s="1" t="s">
        <v>804</v>
      </c>
      <c r="D265" s="4" t="s">
        <v>805</v>
      </c>
      <c r="E265" s="1" t="s">
        <v>21</v>
      </c>
      <c r="F265" s="1" t="s">
        <v>13</v>
      </c>
      <c r="G265" s="1" t="str">
        <f aca="false">TEXT(A265,"YYYY-MM-DD")</f>
        <v>2024-07-27</v>
      </c>
      <c r="H265" s="1" t="str">
        <f aca="false">TEXT(A265,"HH:MM")</f>
        <v>02:33</v>
      </c>
      <c r="I265" s="0" t="str">
        <f aca="false">IFERROR(VLOOKUP(C265,threat_intelligence!A:B,2,0),"CLEAN")</f>
        <v>CLEAN</v>
      </c>
    </row>
    <row r="266" customFormat="false" ht="12.8" hidden="false" customHeight="false" outlineLevel="0" collapsed="false">
      <c r="A266" s="3" t="n">
        <v>45499.6229166667</v>
      </c>
      <c r="B266" s="1" t="s">
        <v>806</v>
      </c>
      <c r="C266" s="1" t="s">
        <v>807</v>
      </c>
      <c r="D266" s="4" t="s">
        <v>808</v>
      </c>
      <c r="E266" s="1" t="s">
        <v>12</v>
      </c>
      <c r="F266" s="1" t="s">
        <v>13</v>
      </c>
      <c r="G266" s="1" t="str">
        <f aca="false">TEXT(A266,"YYYY-MM-DD")</f>
        <v>2024-07-26</v>
      </c>
      <c r="H266" s="1" t="str">
        <f aca="false">TEXT(A266,"HH:MM")</f>
        <v>14:57</v>
      </c>
      <c r="I266" s="0" t="str">
        <f aca="false">IFERROR(VLOOKUP(C266,threat_intelligence!A:B,2,0),"CLEAN")</f>
        <v>CLEAN</v>
      </c>
    </row>
    <row r="267" customFormat="false" ht="12.8" hidden="false" customHeight="false" outlineLevel="0" collapsed="false">
      <c r="A267" s="3" t="n">
        <v>45499.8472222222</v>
      </c>
      <c r="B267" s="1" t="s">
        <v>809</v>
      </c>
      <c r="C267" s="1" t="s">
        <v>810</v>
      </c>
      <c r="D267" s="4" t="s">
        <v>811</v>
      </c>
      <c r="E267" s="1" t="s">
        <v>17</v>
      </c>
      <c r="F267" s="1" t="s">
        <v>13</v>
      </c>
      <c r="G267" s="1" t="str">
        <f aca="false">TEXT(A267,"YYYY-MM-DD")</f>
        <v>2024-07-26</v>
      </c>
      <c r="H267" s="1" t="str">
        <f aca="false">TEXT(A267,"HH:MM")</f>
        <v>20:20</v>
      </c>
      <c r="I267" s="0" t="str">
        <f aca="false">IFERROR(VLOOKUP(C267,threat_intelligence!A:B,2,0),"CLEAN")</f>
        <v>CLEAN</v>
      </c>
    </row>
    <row r="268" customFormat="false" ht="12.8" hidden="false" customHeight="false" outlineLevel="0" collapsed="false">
      <c r="A268" s="3" t="n">
        <v>45500.0465277778</v>
      </c>
      <c r="B268" s="1" t="s">
        <v>812</v>
      </c>
      <c r="C268" s="1" t="s">
        <v>813</v>
      </c>
      <c r="D268" s="4" t="s">
        <v>814</v>
      </c>
      <c r="E268" s="1" t="s">
        <v>21</v>
      </c>
      <c r="F268" s="1" t="s">
        <v>13</v>
      </c>
      <c r="G268" s="1" t="str">
        <f aca="false">TEXT(A268,"YYYY-MM-DD")</f>
        <v>2024-07-27</v>
      </c>
      <c r="H268" s="1" t="str">
        <f aca="false">TEXT(A268,"HH:MM")</f>
        <v>01:07</v>
      </c>
      <c r="I268" s="0" t="str">
        <f aca="false">IFERROR(VLOOKUP(C268,threat_intelligence!A:B,2,0),"CLEAN")</f>
        <v>CLEAN</v>
      </c>
    </row>
    <row r="269" customFormat="false" ht="12.8" hidden="false" customHeight="false" outlineLevel="0" collapsed="false">
      <c r="A269" s="3" t="n">
        <v>45499.7409722222</v>
      </c>
      <c r="B269" s="1" t="s">
        <v>815</v>
      </c>
      <c r="C269" s="1" t="s">
        <v>816</v>
      </c>
      <c r="D269" s="4" t="s">
        <v>817</v>
      </c>
      <c r="E269" s="1" t="s">
        <v>12</v>
      </c>
      <c r="F269" s="1" t="s">
        <v>25</v>
      </c>
      <c r="G269" s="1" t="str">
        <f aca="false">TEXT(A269,"YYYY-MM-DD")</f>
        <v>2024-07-26</v>
      </c>
      <c r="H269" s="1" t="str">
        <f aca="false">TEXT(A269,"HH:MM")</f>
        <v>17:47</v>
      </c>
      <c r="I269" s="0" t="str">
        <f aca="false">IFERROR(VLOOKUP(C269,threat_intelligence!A:B,2,0),"CLEAN")</f>
        <v>CLEAN</v>
      </c>
    </row>
    <row r="270" customFormat="false" ht="12.8" hidden="false" customHeight="false" outlineLevel="0" collapsed="false">
      <c r="A270" s="3" t="n">
        <v>45500.33125</v>
      </c>
      <c r="B270" s="1" t="s">
        <v>818</v>
      </c>
      <c r="C270" s="1" t="s">
        <v>819</v>
      </c>
      <c r="D270" s="4" t="s">
        <v>820</v>
      </c>
      <c r="E270" s="1" t="s">
        <v>12</v>
      </c>
      <c r="F270" s="1" t="s">
        <v>25</v>
      </c>
      <c r="G270" s="1" t="str">
        <f aca="false">TEXT(A270,"YYYY-MM-DD")</f>
        <v>2024-07-27</v>
      </c>
      <c r="H270" s="1" t="str">
        <f aca="false">TEXT(A270,"HH:MM")</f>
        <v>07:57</v>
      </c>
      <c r="I270" s="0" t="str">
        <f aca="false">IFERROR(VLOOKUP(C270,threat_intelligence!A:B,2,0),"CLEAN")</f>
        <v>CLEAN</v>
      </c>
    </row>
    <row r="271" customFormat="false" ht="12.8" hidden="false" customHeight="false" outlineLevel="0" collapsed="false">
      <c r="A271" s="3" t="n">
        <v>45499.4465277778</v>
      </c>
      <c r="B271" s="1" t="s">
        <v>821</v>
      </c>
      <c r="C271" s="1" t="s">
        <v>822</v>
      </c>
      <c r="D271" s="4" t="s">
        <v>823</v>
      </c>
      <c r="E271" s="1" t="s">
        <v>17</v>
      </c>
      <c r="F271" s="1" t="s">
        <v>13</v>
      </c>
      <c r="G271" s="1" t="str">
        <f aca="false">TEXT(A271,"YYYY-MM-DD")</f>
        <v>2024-07-26</v>
      </c>
      <c r="H271" s="1" t="str">
        <f aca="false">TEXT(A271,"HH:MM")</f>
        <v>10:43</v>
      </c>
      <c r="I271" s="0" t="str">
        <f aca="false">IFERROR(VLOOKUP(C271,threat_intelligence!A:B,2,0),"CLEAN")</f>
        <v>CLEAN</v>
      </c>
    </row>
    <row r="272" customFormat="false" ht="12.8" hidden="false" customHeight="false" outlineLevel="0" collapsed="false">
      <c r="A272" s="3" t="n">
        <v>45500.2347222222</v>
      </c>
      <c r="B272" s="1" t="s">
        <v>824</v>
      </c>
      <c r="C272" s="1" t="s">
        <v>825</v>
      </c>
      <c r="D272" s="4" t="s">
        <v>826</v>
      </c>
      <c r="E272" s="1" t="s">
        <v>21</v>
      </c>
      <c r="F272" s="1" t="s">
        <v>13</v>
      </c>
      <c r="G272" s="1" t="str">
        <f aca="false">TEXT(A272,"YYYY-MM-DD")</f>
        <v>2024-07-27</v>
      </c>
      <c r="H272" s="1" t="str">
        <f aca="false">TEXT(A272,"HH:MM")</f>
        <v>05:38</v>
      </c>
      <c r="I272" s="0" t="str">
        <f aca="false">IFERROR(VLOOKUP(C272,threat_intelligence!A:B,2,0),"CLEAN")</f>
        <v>CLEAN</v>
      </c>
    </row>
    <row r="273" customFormat="false" ht="12.8" hidden="false" customHeight="false" outlineLevel="0" collapsed="false">
      <c r="A273" s="3" t="n">
        <v>45500.1701388889</v>
      </c>
      <c r="B273" s="1" t="s">
        <v>827</v>
      </c>
      <c r="C273" s="1" t="s">
        <v>828</v>
      </c>
      <c r="D273" s="4" t="s">
        <v>829</v>
      </c>
      <c r="E273" s="1" t="s">
        <v>17</v>
      </c>
      <c r="F273" s="1" t="s">
        <v>25</v>
      </c>
      <c r="G273" s="1" t="str">
        <f aca="false">TEXT(A273,"YYYY-MM-DD")</f>
        <v>2024-07-27</v>
      </c>
      <c r="H273" s="1" t="str">
        <f aca="false">TEXT(A273,"HH:MM")</f>
        <v>04:05</v>
      </c>
      <c r="I273" s="0" t="str">
        <f aca="false">IFERROR(VLOOKUP(C273,threat_intelligence!A:B,2,0),"CLEAN")</f>
        <v>CLEAN</v>
      </c>
    </row>
    <row r="274" customFormat="false" ht="12.8" hidden="false" customHeight="false" outlineLevel="0" collapsed="false">
      <c r="A274" s="3" t="n">
        <v>45500.1993055556</v>
      </c>
      <c r="B274" s="1" t="s">
        <v>830</v>
      </c>
      <c r="C274" s="1" t="s">
        <v>831</v>
      </c>
      <c r="D274" s="4" t="s">
        <v>832</v>
      </c>
      <c r="E274" s="1" t="s">
        <v>17</v>
      </c>
      <c r="F274" s="1" t="s">
        <v>25</v>
      </c>
      <c r="G274" s="1" t="str">
        <f aca="false">TEXT(A274,"YYYY-MM-DD")</f>
        <v>2024-07-27</v>
      </c>
      <c r="H274" s="1" t="str">
        <f aca="false">TEXT(A274,"HH:MM")</f>
        <v>04:47</v>
      </c>
      <c r="I274" s="0" t="str">
        <f aca="false">IFERROR(VLOOKUP(C274,threat_intelligence!A:B,2,0),"CLEAN")</f>
        <v>CLEAN</v>
      </c>
    </row>
    <row r="275" customFormat="false" ht="12.8" hidden="false" customHeight="false" outlineLevel="0" collapsed="false">
      <c r="A275" s="3" t="n">
        <v>45499.8020833333</v>
      </c>
      <c r="B275" s="1" t="s">
        <v>833</v>
      </c>
      <c r="C275" s="1" t="s">
        <v>834</v>
      </c>
      <c r="D275" s="4" t="s">
        <v>835</v>
      </c>
      <c r="E275" s="1" t="s">
        <v>21</v>
      </c>
      <c r="F275" s="1" t="s">
        <v>13</v>
      </c>
      <c r="G275" s="1" t="str">
        <f aca="false">TEXT(A275,"YYYY-MM-DD")</f>
        <v>2024-07-26</v>
      </c>
      <c r="H275" s="1" t="str">
        <f aca="false">TEXT(A275,"HH:MM")</f>
        <v>19:15</v>
      </c>
      <c r="I275" s="0" t="str">
        <f aca="false">IFERROR(VLOOKUP(C275,threat_intelligence!A:B,2,0),"CLEAN")</f>
        <v>CLEAN</v>
      </c>
    </row>
    <row r="276" customFormat="false" ht="12.8" hidden="false" customHeight="false" outlineLevel="0" collapsed="false">
      <c r="A276" s="3" t="n">
        <v>45499.6180555556</v>
      </c>
      <c r="B276" s="1" t="s">
        <v>836</v>
      </c>
      <c r="C276" s="1" t="s">
        <v>837</v>
      </c>
      <c r="D276" s="4" t="s">
        <v>838</v>
      </c>
      <c r="E276" s="1" t="s">
        <v>12</v>
      </c>
      <c r="F276" s="1" t="s">
        <v>25</v>
      </c>
      <c r="G276" s="1" t="str">
        <f aca="false">TEXT(A276,"YYYY-MM-DD")</f>
        <v>2024-07-26</v>
      </c>
      <c r="H276" s="1" t="str">
        <f aca="false">TEXT(A276,"HH:MM")</f>
        <v>14:50</v>
      </c>
      <c r="I276" s="0" t="str">
        <f aca="false">IFERROR(VLOOKUP(C276,threat_intelligence!A:B,2,0),"CLEAN")</f>
        <v>CLEAN</v>
      </c>
    </row>
    <row r="277" customFormat="false" ht="12.8" hidden="false" customHeight="false" outlineLevel="0" collapsed="false">
      <c r="A277" s="3" t="n">
        <v>45500.0326388889</v>
      </c>
      <c r="B277" s="1" t="s">
        <v>839</v>
      </c>
      <c r="C277" s="1" t="s">
        <v>840</v>
      </c>
      <c r="D277" s="4" t="s">
        <v>841</v>
      </c>
      <c r="E277" s="1" t="s">
        <v>12</v>
      </c>
      <c r="F277" s="1" t="s">
        <v>25</v>
      </c>
      <c r="G277" s="1" t="str">
        <f aca="false">TEXT(A277,"YYYY-MM-DD")</f>
        <v>2024-07-27</v>
      </c>
      <c r="H277" s="1" t="str">
        <f aca="false">TEXT(A277,"HH:MM")</f>
        <v>00:47</v>
      </c>
      <c r="I277" s="0" t="str">
        <f aca="false">IFERROR(VLOOKUP(C277,threat_intelligence!A:B,2,0),"CLEAN")</f>
        <v>CLEAN</v>
      </c>
    </row>
    <row r="278" customFormat="false" ht="12.8" hidden="false" customHeight="false" outlineLevel="0" collapsed="false">
      <c r="A278" s="3" t="n">
        <v>45500.0895833333</v>
      </c>
      <c r="B278" s="1" t="s">
        <v>842</v>
      </c>
      <c r="C278" s="1" t="s">
        <v>843</v>
      </c>
      <c r="D278" s="4" t="s">
        <v>844</v>
      </c>
      <c r="E278" s="1" t="s">
        <v>21</v>
      </c>
      <c r="F278" s="1" t="s">
        <v>25</v>
      </c>
      <c r="G278" s="1" t="str">
        <f aca="false">TEXT(A278,"YYYY-MM-DD")</f>
        <v>2024-07-27</v>
      </c>
      <c r="H278" s="1" t="str">
        <f aca="false">TEXT(A278,"HH:MM")</f>
        <v>02:09</v>
      </c>
      <c r="I278" s="0" t="str">
        <f aca="false">IFERROR(VLOOKUP(C278,threat_intelligence!A:B,2,0),"CLEAN")</f>
        <v>CLEAN</v>
      </c>
    </row>
    <row r="279" customFormat="false" ht="12.8" hidden="false" customHeight="false" outlineLevel="0" collapsed="false">
      <c r="A279" s="3" t="n">
        <v>45500.2395833333</v>
      </c>
      <c r="B279" s="1" t="s">
        <v>845</v>
      </c>
      <c r="C279" s="1" t="s">
        <v>846</v>
      </c>
      <c r="D279" s="4" t="s">
        <v>847</v>
      </c>
      <c r="E279" s="1" t="s">
        <v>17</v>
      </c>
      <c r="F279" s="1" t="s">
        <v>25</v>
      </c>
      <c r="G279" s="1" t="str">
        <f aca="false">TEXT(A279,"YYYY-MM-DD")</f>
        <v>2024-07-27</v>
      </c>
      <c r="H279" s="1" t="str">
        <f aca="false">TEXT(A279,"HH:MM")</f>
        <v>05:45</v>
      </c>
      <c r="I279" s="0" t="str">
        <f aca="false">IFERROR(VLOOKUP(C279,threat_intelligence!A:B,2,0),"CLEAN")</f>
        <v>CLEAN</v>
      </c>
    </row>
    <row r="280" customFormat="false" ht="12.8" hidden="false" customHeight="false" outlineLevel="0" collapsed="false">
      <c r="A280" s="3" t="n">
        <v>45499.6451388889</v>
      </c>
      <c r="B280" s="1" t="s">
        <v>848</v>
      </c>
      <c r="C280" s="1" t="s">
        <v>849</v>
      </c>
      <c r="D280" s="4" t="s">
        <v>850</v>
      </c>
      <c r="E280" s="1" t="s">
        <v>21</v>
      </c>
      <c r="F280" s="1" t="s">
        <v>25</v>
      </c>
      <c r="G280" s="1" t="str">
        <f aca="false">TEXT(A280,"YYYY-MM-DD")</f>
        <v>2024-07-26</v>
      </c>
      <c r="H280" s="1" t="str">
        <f aca="false">TEXT(A280,"HH:MM")</f>
        <v>15:29</v>
      </c>
      <c r="I280" s="0" t="str">
        <f aca="false">IFERROR(VLOOKUP(C280,threat_intelligence!A:B,2,0),"CLEAN")</f>
        <v>CLEAN</v>
      </c>
    </row>
    <row r="281" customFormat="false" ht="12.8" hidden="false" customHeight="false" outlineLevel="0" collapsed="false">
      <c r="A281" s="3" t="n">
        <v>45499.3402777778</v>
      </c>
      <c r="B281" s="1" t="s">
        <v>851</v>
      </c>
      <c r="C281" s="1" t="s">
        <v>852</v>
      </c>
      <c r="D281" s="4" t="s">
        <v>853</v>
      </c>
      <c r="E281" s="1" t="s">
        <v>12</v>
      </c>
      <c r="F281" s="1" t="s">
        <v>25</v>
      </c>
      <c r="G281" s="1" t="str">
        <f aca="false">TEXT(A281,"YYYY-MM-DD")</f>
        <v>2024-07-26</v>
      </c>
      <c r="H281" s="1" t="str">
        <f aca="false">TEXT(A281,"HH:MM")</f>
        <v>08:10</v>
      </c>
      <c r="I281" s="0" t="str">
        <f aca="false">IFERROR(VLOOKUP(C281,threat_intelligence!A:B,2,0),"CLEAN")</f>
        <v>CLEAN</v>
      </c>
    </row>
    <row r="282" customFormat="false" ht="12.8" hidden="false" customHeight="false" outlineLevel="0" collapsed="false">
      <c r="A282" s="3" t="n">
        <v>45500.2409722222</v>
      </c>
      <c r="B282" s="1" t="s">
        <v>854</v>
      </c>
      <c r="C282" s="1" t="s">
        <v>855</v>
      </c>
      <c r="D282" s="4" t="s">
        <v>856</v>
      </c>
      <c r="E282" s="1" t="s">
        <v>17</v>
      </c>
      <c r="F282" s="1" t="s">
        <v>25</v>
      </c>
      <c r="G282" s="1" t="str">
        <f aca="false">TEXT(A282,"YYYY-MM-DD")</f>
        <v>2024-07-27</v>
      </c>
      <c r="H282" s="1" t="str">
        <f aca="false">TEXT(A282,"HH:MM")</f>
        <v>05:47</v>
      </c>
      <c r="I282" s="0" t="str">
        <f aca="false">IFERROR(VLOOKUP(C282,threat_intelligence!A:B,2,0),"CLEAN")</f>
        <v>CLEAN</v>
      </c>
    </row>
    <row r="283" customFormat="false" ht="12.8" hidden="false" customHeight="false" outlineLevel="0" collapsed="false">
      <c r="A283" s="3" t="n">
        <v>45499.4430555556</v>
      </c>
      <c r="B283" s="1" t="s">
        <v>857</v>
      </c>
      <c r="C283" s="1" t="s">
        <v>858</v>
      </c>
      <c r="D283" s="4" t="s">
        <v>859</v>
      </c>
      <c r="E283" s="1" t="s">
        <v>12</v>
      </c>
      <c r="F283" s="1" t="s">
        <v>13</v>
      </c>
      <c r="G283" s="1" t="str">
        <f aca="false">TEXT(A283,"YYYY-MM-DD")</f>
        <v>2024-07-26</v>
      </c>
      <c r="H283" s="1" t="str">
        <f aca="false">TEXT(A283,"HH:MM")</f>
        <v>10:38</v>
      </c>
      <c r="I283" s="0" t="str">
        <f aca="false">IFERROR(VLOOKUP(C283,threat_intelligence!A:B,2,0),"CLEAN")</f>
        <v>CLEAN</v>
      </c>
    </row>
    <row r="284" customFormat="false" ht="12.8" hidden="false" customHeight="false" outlineLevel="0" collapsed="false">
      <c r="A284" s="3" t="n">
        <v>45500.2180555556</v>
      </c>
      <c r="B284" s="1" t="s">
        <v>860</v>
      </c>
      <c r="C284" s="1" t="s">
        <v>861</v>
      </c>
      <c r="D284" s="4" t="s">
        <v>862</v>
      </c>
      <c r="E284" s="1" t="s">
        <v>17</v>
      </c>
      <c r="F284" s="1" t="s">
        <v>13</v>
      </c>
      <c r="G284" s="1" t="str">
        <f aca="false">TEXT(A284,"YYYY-MM-DD")</f>
        <v>2024-07-27</v>
      </c>
      <c r="H284" s="1" t="str">
        <f aca="false">TEXT(A284,"HH:MM")</f>
        <v>05:14</v>
      </c>
      <c r="I284" s="0" t="str">
        <f aca="false">IFERROR(VLOOKUP(C284,threat_intelligence!A:B,2,0),"CLEAN")</f>
        <v>CLEAN</v>
      </c>
    </row>
    <row r="285" customFormat="false" ht="12.8" hidden="false" customHeight="false" outlineLevel="0" collapsed="false">
      <c r="A285" s="3" t="n">
        <v>45499.3486111111</v>
      </c>
      <c r="B285" s="1" t="s">
        <v>863</v>
      </c>
      <c r="C285" s="1" t="s">
        <v>864</v>
      </c>
      <c r="D285" s="4" t="s">
        <v>865</v>
      </c>
      <c r="E285" s="1" t="s">
        <v>17</v>
      </c>
      <c r="F285" s="1" t="s">
        <v>13</v>
      </c>
      <c r="G285" s="1" t="str">
        <f aca="false">TEXT(A285,"YYYY-MM-DD")</f>
        <v>2024-07-26</v>
      </c>
      <c r="H285" s="1" t="str">
        <f aca="false">TEXT(A285,"HH:MM")</f>
        <v>08:22</v>
      </c>
      <c r="I285" s="0" t="str">
        <f aca="false">IFERROR(VLOOKUP(C285,threat_intelligence!A:B,2,0),"CLEAN")</f>
        <v>CLEAN</v>
      </c>
    </row>
    <row r="286" customFormat="false" ht="12.8" hidden="false" customHeight="false" outlineLevel="0" collapsed="false">
      <c r="A286" s="3" t="n">
        <v>45499.8416666667</v>
      </c>
      <c r="B286" s="1" t="s">
        <v>866</v>
      </c>
      <c r="C286" s="1" t="s">
        <v>867</v>
      </c>
      <c r="D286" s="4" t="s">
        <v>868</v>
      </c>
      <c r="E286" s="1" t="s">
        <v>12</v>
      </c>
      <c r="F286" s="1" t="s">
        <v>25</v>
      </c>
      <c r="G286" s="1" t="str">
        <f aca="false">TEXT(A286,"YYYY-MM-DD")</f>
        <v>2024-07-26</v>
      </c>
      <c r="H286" s="1" t="str">
        <f aca="false">TEXT(A286,"HH:MM")</f>
        <v>20:12</v>
      </c>
      <c r="I286" s="0" t="str">
        <f aca="false">IFERROR(VLOOKUP(C286,threat_intelligence!A:B,2,0),"CLEAN")</f>
        <v>CLEAN</v>
      </c>
    </row>
    <row r="287" customFormat="false" ht="12.8" hidden="false" customHeight="false" outlineLevel="0" collapsed="false">
      <c r="A287" s="3" t="n">
        <v>45499.8333333333</v>
      </c>
      <c r="B287" s="1" t="s">
        <v>869</v>
      </c>
      <c r="C287" s="1" t="s">
        <v>870</v>
      </c>
      <c r="D287" s="4" t="s">
        <v>871</v>
      </c>
      <c r="E287" s="1" t="s">
        <v>12</v>
      </c>
      <c r="F287" s="1" t="s">
        <v>25</v>
      </c>
      <c r="G287" s="1" t="str">
        <f aca="false">TEXT(A287,"YYYY-MM-DD")</f>
        <v>2024-07-26</v>
      </c>
      <c r="H287" s="1" t="str">
        <f aca="false">TEXT(A287,"HH:MM")</f>
        <v>20:00</v>
      </c>
      <c r="I287" s="0" t="str">
        <f aca="false">IFERROR(VLOOKUP(C287,threat_intelligence!A:B,2,0),"CLEAN")</f>
        <v>CLEAN</v>
      </c>
    </row>
    <row r="288" customFormat="false" ht="12.8" hidden="false" customHeight="false" outlineLevel="0" collapsed="false">
      <c r="A288" s="3" t="n">
        <v>45499.5229166667</v>
      </c>
      <c r="B288" s="1" t="s">
        <v>872</v>
      </c>
      <c r="C288" s="1" t="s">
        <v>873</v>
      </c>
      <c r="D288" s="4" t="s">
        <v>874</v>
      </c>
      <c r="E288" s="1" t="s">
        <v>17</v>
      </c>
      <c r="F288" s="1" t="s">
        <v>25</v>
      </c>
      <c r="G288" s="1" t="str">
        <f aca="false">TEXT(A288,"YYYY-MM-DD")</f>
        <v>2024-07-26</v>
      </c>
      <c r="H288" s="1" t="str">
        <f aca="false">TEXT(A288,"HH:MM")</f>
        <v>12:33</v>
      </c>
      <c r="I288" s="0" t="str">
        <f aca="false">IFERROR(VLOOKUP(C288,threat_intelligence!A:B,2,0),"CLEAN")</f>
        <v>CLEAN</v>
      </c>
    </row>
    <row r="289" customFormat="false" ht="12.8" hidden="false" customHeight="false" outlineLevel="0" collapsed="false">
      <c r="A289" s="3" t="n">
        <v>45499.3576388889</v>
      </c>
      <c r="B289" s="1" t="s">
        <v>875</v>
      </c>
      <c r="C289" s="1" t="s">
        <v>876</v>
      </c>
      <c r="D289" s="4" t="s">
        <v>877</v>
      </c>
      <c r="E289" s="1" t="s">
        <v>17</v>
      </c>
      <c r="F289" s="1" t="s">
        <v>25</v>
      </c>
      <c r="G289" s="1" t="str">
        <f aca="false">TEXT(A289,"YYYY-MM-DD")</f>
        <v>2024-07-26</v>
      </c>
      <c r="H289" s="1" t="str">
        <f aca="false">TEXT(A289,"HH:MM")</f>
        <v>08:35</v>
      </c>
      <c r="I289" s="0" t="str">
        <f aca="false">IFERROR(VLOOKUP(C289,threat_intelligence!A:B,2,0),"CLEAN")</f>
        <v>CLEAN</v>
      </c>
    </row>
    <row r="290" customFormat="false" ht="12.8" hidden="false" customHeight="false" outlineLevel="0" collapsed="false">
      <c r="A290" s="3" t="n">
        <v>45499.7104166667</v>
      </c>
      <c r="B290" s="1" t="s">
        <v>878</v>
      </c>
      <c r="C290" s="1" t="s">
        <v>879</v>
      </c>
      <c r="D290" s="4" t="s">
        <v>880</v>
      </c>
      <c r="E290" s="1" t="s">
        <v>12</v>
      </c>
      <c r="F290" s="1" t="s">
        <v>13</v>
      </c>
      <c r="G290" s="1" t="str">
        <f aca="false">TEXT(A290,"YYYY-MM-DD")</f>
        <v>2024-07-26</v>
      </c>
      <c r="H290" s="1" t="str">
        <f aca="false">TEXT(A290,"HH:MM")</f>
        <v>17:03</v>
      </c>
      <c r="I290" s="0" t="str">
        <f aca="false">IFERROR(VLOOKUP(C290,threat_intelligence!A:B,2,0),"CLEAN")</f>
        <v>CLEAN</v>
      </c>
    </row>
    <row r="291" customFormat="false" ht="12.8" hidden="false" customHeight="false" outlineLevel="0" collapsed="false">
      <c r="A291" s="3" t="n">
        <v>45499.5833333333</v>
      </c>
      <c r="B291" s="1" t="s">
        <v>881</v>
      </c>
      <c r="C291" s="1" t="s">
        <v>882</v>
      </c>
      <c r="D291" s="4" t="s">
        <v>883</v>
      </c>
      <c r="E291" s="1" t="s">
        <v>17</v>
      </c>
      <c r="F291" s="1" t="s">
        <v>13</v>
      </c>
      <c r="G291" s="1" t="str">
        <f aca="false">TEXT(A291,"YYYY-MM-DD")</f>
        <v>2024-07-26</v>
      </c>
      <c r="H291" s="1" t="str">
        <f aca="false">TEXT(A291,"HH:MM")</f>
        <v>14:00</v>
      </c>
      <c r="I291" s="0" t="str">
        <f aca="false">IFERROR(VLOOKUP(C291,threat_intelligence!A:B,2,0),"CLEAN")</f>
        <v>CLEAN</v>
      </c>
    </row>
    <row r="292" customFormat="false" ht="12.8" hidden="false" customHeight="false" outlineLevel="0" collapsed="false">
      <c r="A292" s="3" t="n">
        <v>45500.1472222222</v>
      </c>
      <c r="B292" s="1" t="s">
        <v>884</v>
      </c>
      <c r="C292" s="1" t="s">
        <v>885</v>
      </c>
      <c r="D292" s="4" t="s">
        <v>886</v>
      </c>
      <c r="E292" s="1" t="s">
        <v>17</v>
      </c>
      <c r="F292" s="1" t="s">
        <v>13</v>
      </c>
      <c r="G292" s="1" t="str">
        <f aca="false">TEXT(A292,"YYYY-MM-DD")</f>
        <v>2024-07-27</v>
      </c>
      <c r="H292" s="1" t="str">
        <f aca="false">TEXT(A292,"HH:MM")</f>
        <v>03:32</v>
      </c>
      <c r="I292" s="0" t="str">
        <f aca="false">IFERROR(VLOOKUP(C292,threat_intelligence!A:B,2,0),"CLEAN")</f>
        <v>CLEAN</v>
      </c>
    </row>
    <row r="293" customFormat="false" ht="12.8" hidden="false" customHeight="false" outlineLevel="0" collapsed="false">
      <c r="A293" s="3" t="n">
        <v>45500.1194444445</v>
      </c>
      <c r="B293" s="1" t="s">
        <v>887</v>
      </c>
      <c r="C293" s="1" t="s">
        <v>888</v>
      </c>
      <c r="D293" s="4" t="s">
        <v>889</v>
      </c>
      <c r="E293" s="1" t="s">
        <v>17</v>
      </c>
      <c r="F293" s="1" t="s">
        <v>25</v>
      </c>
      <c r="G293" s="1" t="str">
        <f aca="false">TEXT(A293,"YYYY-MM-DD")</f>
        <v>2024-07-27</v>
      </c>
      <c r="H293" s="1" t="str">
        <f aca="false">TEXT(A293,"HH:MM")</f>
        <v>02:52</v>
      </c>
      <c r="I293" s="0" t="str">
        <f aca="false">IFERROR(VLOOKUP(C293,threat_intelligence!A:B,2,0),"CLEAN")</f>
        <v>CLEAN</v>
      </c>
    </row>
    <row r="294" customFormat="false" ht="12.8" hidden="false" customHeight="false" outlineLevel="0" collapsed="false">
      <c r="A294" s="3" t="n">
        <v>45499.4256944444</v>
      </c>
      <c r="B294" s="1" t="s">
        <v>890</v>
      </c>
      <c r="C294" s="1" t="s">
        <v>891</v>
      </c>
      <c r="D294" s="4" t="s">
        <v>892</v>
      </c>
      <c r="E294" s="1" t="s">
        <v>21</v>
      </c>
      <c r="F294" s="1" t="s">
        <v>13</v>
      </c>
      <c r="G294" s="1" t="str">
        <f aca="false">TEXT(A294,"YYYY-MM-DD")</f>
        <v>2024-07-26</v>
      </c>
      <c r="H294" s="1" t="str">
        <f aca="false">TEXT(A294,"HH:MM")</f>
        <v>10:13</v>
      </c>
      <c r="I294" s="0" t="str">
        <f aca="false">IFERROR(VLOOKUP(C294,threat_intelligence!A:B,2,0),"CLEAN")</f>
        <v>CLEAN</v>
      </c>
    </row>
    <row r="295" customFormat="false" ht="12.8" hidden="false" customHeight="false" outlineLevel="0" collapsed="false">
      <c r="A295" s="3" t="n">
        <v>45499.60625</v>
      </c>
      <c r="B295" s="1" t="s">
        <v>893</v>
      </c>
      <c r="C295" s="1" t="s">
        <v>894</v>
      </c>
      <c r="D295" s="4" t="s">
        <v>895</v>
      </c>
      <c r="E295" s="1" t="s">
        <v>21</v>
      </c>
      <c r="F295" s="1" t="s">
        <v>13</v>
      </c>
      <c r="G295" s="1" t="str">
        <f aca="false">TEXT(A295,"YYYY-MM-DD")</f>
        <v>2024-07-26</v>
      </c>
      <c r="H295" s="1" t="str">
        <f aca="false">TEXT(A295,"HH:MM")</f>
        <v>14:33</v>
      </c>
      <c r="I295" s="0" t="str">
        <f aca="false">IFERROR(VLOOKUP(C295,threat_intelligence!A:B,2,0),"CLEAN")</f>
        <v>CLEAN</v>
      </c>
    </row>
    <row r="296" customFormat="false" ht="12.8" hidden="false" customHeight="false" outlineLevel="0" collapsed="false">
      <c r="A296" s="3" t="n">
        <v>45499.5194444444</v>
      </c>
      <c r="B296" s="1" t="s">
        <v>896</v>
      </c>
      <c r="C296" s="1" t="s">
        <v>897</v>
      </c>
      <c r="D296" s="4" t="s">
        <v>898</v>
      </c>
      <c r="E296" s="1" t="s">
        <v>17</v>
      </c>
      <c r="F296" s="1" t="s">
        <v>13</v>
      </c>
      <c r="G296" s="1" t="str">
        <f aca="false">TEXT(A296,"YYYY-MM-DD")</f>
        <v>2024-07-26</v>
      </c>
      <c r="H296" s="1" t="str">
        <f aca="false">TEXT(A296,"HH:MM")</f>
        <v>12:28</v>
      </c>
      <c r="I296" s="0" t="str">
        <f aca="false">IFERROR(VLOOKUP(C296,threat_intelligence!A:B,2,0),"CLEAN")</f>
        <v>CLEAN</v>
      </c>
    </row>
    <row r="297" customFormat="false" ht="12.8" hidden="false" customHeight="false" outlineLevel="0" collapsed="false">
      <c r="A297" s="3" t="n">
        <v>45499.5972222222</v>
      </c>
      <c r="B297" s="1" t="s">
        <v>899</v>
      </c>
      <c r="C297" s="1" t="s">
        <v>900</v>
      </c>
      <c r="D297" s="4" t="s">
        <v>901</v>
      </c>
      <c r="E297" s="1" t="s">
        <v>17</v>
      </c>
      <c r="F297" s="1" t="s">
        <v>25</v>
      </c>
      <c r="G297" s="1" t="str">
        <f aca="false">TEXT(A297,"YYYY-MM-DD")</f>
        <v>2024-07-26</v>
      </c>
      <c r="H297" s="1" t="str">
        <f aca="false">TEXT(A297,"HH:MM")</f>
        <v>14:20</v>
      </c>
      <c r="I297" s="0" t="str">
        <f aca="false">IFERROR(VLOOKUP(C297,threat_intelligence!A:B,2,0),"CLEAN")</f>
        <v>CLEAN</v>
      </c>
    </row>
    <row r="298" customFormat="false" ht="12.8" hidden="false" customHeight="false" outlineLevel="0" collapsed="false">
      <c r="A298" s="3" t="n">
        <v>45500.2465277778</v>
      </c>
      <c r="B298" s="1" t="s">
        <v>902</v>
      </c>
      <c r="C298" s="1" t="s">
        <v>903</v>
      </c>
      <c r="D298" s="4" t="s">
        <v>904</v>
      </c>
      <c r="E298" s="1" t="s">
        <v>17</v>
      </c>
      <c r="F298" s="1" t="s">
        <v>25</v>
      </c>
      <c r="G298" s="1" t="str">
        <f aca="false">TEXT(A298,"YYYY-MM-DD")</f>
        <v>2024-07-27</v>
      </c>
      <c r="H298" s="1" t="str">
        <f aca="false">TEXT(A298,"HH:MM")</f>
        <v>05:55</v>
      </c>
      <c r="I298" s="0" t="str">
        <f aca="false">IFERROR(VLOOKUP(C298,threat_intelligence!A:B,2,0),"CLEAN")</f>
        <v>CLEAN</v>
      </c>
    </row>
    <row r="299" customFormat="false" ht="12.8" hidden="false" customHeight="false" outlineLevel="0" collapsed="false">
      <c r="A299" s="3" t="n">
        <v>45499.5618055556</v>
      </c>
      <c r="B299" s="1" t="s">
        <v>905</v>
      </c>
      <c r="C299" s="1" t="s">
        <v>906</v>
      </c>
      <c r="D299" s="4" t="s">
        <v>907</v>
      </c>
      <c r="E299" s="1" t="s">
        <v>17</v>
      </c>
      <c r="F299" s="1" t="s">
        <v>13</v>
      </c>
      <c r="G299" s="1" t="str">
        <f aca="false">TEXT(A299,"YYYY-MM-DD")</f>
        <v>2024-07-26</v>
      </c>
      <c r="H299" s="1" t="str">
        <f aca="false">TEXT(A299,"HH:MM")</f>
        <v>13:29</v>
      </c>
      <c r="I299" s="0" t="str">
        <f aca="false">IFERROR(VLOOKUP(C299,threat_intelligence!A:B,2,0),"CLEAN")</f>
        <v>CLEAN</v>
      </c>
    </row>
    <row r="300" customFormat="false" ht="12.8" hidden="false" customHeight="false" outlineLevel="0" collapsed="false">
      <c r="A300" s="3" t="n">
        <v>45499.5069444444</v>
      </c>
      <c r="B300" s="1" t="s">
        <v>908</v>
      </c>
      <c r="C300" s="1" t="s">
        <v>909</v>
      </c>
      <c r="D300" s="4" t="s">
        <v>910</v>
      </c>
      <c r="E300" s="1" t="s">
        <v>17</v>
      </c>
      <c r="F300" s="1" t="s">
        <v>25</v>
      </c>
      <c r="G300" s="1" t="str">
        <f aca="false">TEXT(A300,"YYYY-MM-DD")</f>
        <v>2024-07-26</v>
      </c>
      <c r="H300" s="1" t="str">
        <f aca="false">TEXT(A300,"HH:MM")</f>
        <v>12:10</v>
      </c>
      <c r="I300" s="0" t="str">
        <f aca="false">IFERROR(VLOOKUP(C300,threat_intelligence!A:B,2,0),"CLEAN")</f>
        <v>CLEAN</v>
      </c>
    </row>
    <row r="301" customFormat="false" ht="12.8" hidden="false" customHeight="false" outlineLevel="0" collapsed="false">
      <c r="A301" s="3" t="n">
        <v>45500.1375</v>
      </c>
      <c r="B301" s="1" t="s">
        <v>911</v>
      </c>
      <c r="C301" s="1" t="s">
        <v>912</v>
      </c>
      <c r="D301" s="4" t="s">
        <v>913</v>
      </c>
      <c r="E301" s="1" t="s">
        <v>17</v>
      </c>
      <c r="F301" s="1" t="s">
        <v>25</v>
      </c>
      <c r="G301" s="1" t="str">
        <f aca="false">TEXT(A301,"YYYY-MM-DD")</f>
        <v>2024-07-27</v>
      </c>
      <c r="H301" s="1" t="str">
        <f aca="false">TEXT(A301,"HH:MM")</f>
        <v>03:18</v>
      </c>
      <c r="I301" s="0" t="str">
        <f aca="false">IFERROR(VLOOKUP(C301,threat_intelligence!A:B,2,0),"CLEAN")</f>
        <v>CLEAN</v>
      </c>
    </row>
    <row r="302" customFormat="false" ht="12.8" hidden="false" customHeight="false" outlineLevel="0" collapsed="false">
      <c r="A302" s="3" t="n">
        <v>45499.7229166667</v>
      </c>
      <c r="B302" s="1" t="s">
        <v>914</v>
      </c>
      <c r="C302" s="1" t="s">
        <v>915</v>
      </c>
      <c r="D302" s="4" t="s">
        <v>916</v>
      </c>
      <c r="E302" s="1" t="s">
        <v>21</v>
      </c>
      <c r="F302" s="1" t="s">
        <v>13</v>
      </c>
      <c r="G302" s="1" t="str">
        <f aca="false">TEXT(A302,"YYYY-MM-DD")</f>
        <v>2024-07-26</v>
      </c>
      <c r="H302" s="1" t="str">
        <f aca="false">TEXT(A302,"HH:MM")</f>
        <v>17:21</v>
      </c>
      <c r="I302" s="0" t="str">
        <f aca="false">IFERROR(VLOOKUP(C302,threat_intelligence!A:B,2,0),"CLEAN")</f>
        <v>CLEAN</v>
      </c>
    </row>
    <row r="303" customFormat="false" ht="12.8" hidden="false" customHeight="false" outlineLevel="0" collapsed="false">
      <c r="A303" s="3" t="n">
        <v>45499.7847222222</v>
      </c>
      <c r="B303" s="1" t="s">
        <v>917</v>
      </c>
      <c r="C303" s="1" t="s">
        <v>918</v>
      </c>
      <c r="D303" s="4" t="s">
        <v>919</v>
      </c>
      <c r="E303" s="1" t="s">
        <v>21</v>
      </c>
      <c r="F303" s="1" t="s">
        <v>25</v>
      </c>
      <c r="G303" s="1" t="str">
        <f aca="false">TEXT(A303,"YYYY-MM-DD")</f>
        <v>2024-07-26</v>
      </c>
      <c r="H303" s="1" t="str">
        <f aca="false">TEXT(A303,"HH:MM")</f>
        <v>18:50</v>
      </c>
      <c r="I303" s="0" t="str">
        <f aca="false">IFERROR(VLOOKUP(C303,threat_intelligence!A:B,2,0),"CLEAN")</f>
        <v>CLEAN</v>
      </c>
    </row>
    <row r="304" customFormat="false" ht="12.8" hidden="false" customHeight="false" outlineLevel="0" collapsed="false">
      <c r="A304" s="3" t="n">
        <v>45499.6388888889</v>
      </c>
      <c r="B304" s="1" t="s">
        <v>920</v>
      </c>
      <c r="C304" s="1" t="s">
        <v>921</v>
      </c>
      <c r="D304" s="4" t="s">
        <v>922</v>
      </c>
      <c r="E304" s="1" t="s">
        <v>12</v>
      </c>
      <c r="F304" s="1" t="s">
        <v>13</v>
      </c>
      <c r="G304" s="1" t="str">
        <f aca="false">TEXT(A304,"YYYY-MM-DD")</f>
        <v>2024-07-26</v>
      </c>
      <c r="H304" s="1" t="str">
        <f aca="false">TEXT(A304,"HH:MM")</f>
        <v>15:20</v>
      </c>
      <c r="I304" s="0" t="str">
        <f aca="false">IFERROR(VLOOKUP(C304,threat_intelligence!A:B,2,0),"CLEAN")</f>
        <v>CLEAN</v>
      </c>
    </row>
    <row r="305" customFormat="false" ht="12.8" hidden="false" customHeight="false" outlineLevel="0" collapsed="false">
      <c r="A305" s="3" t="n">
        <v>45499.7861111111</v>
      </c>
      <c r="B305" s="1" t="s">
        <v>923</v>
      </c>
      <c r="C305" s="1" t="s">
        <v>924</v>
      </c>
      <c r="D305" s="4" t="s">
        <v>925</v>
      </c>
      <c r="E305" s="1" t="s">
        <v>21</v>
      </c>
      <c r="F305" s="1" t="s">
        <v>25</v>
      </c>
      <c r="G305" s="1" t="str">
        <f aca="false">TEXT(A305,"YYYY-MM-DD")</f>
        <v>2024-07-26</v>
      </c>
      <c r="H305" s="1" t="str">
        <f aca="false">TEXT(A305,"HH:MM")</f>
        <v>18:52</v>
      </c>
      <c r="I305" s="0" t="str">
        <f aca="false">IFERROR(VLOOKUP(C305,threat_intelligence!A:B,2,0),"CLEAN")</f>
        <v>CLEAN</v>
      </c>
    </row>
    <row r="306" customFormat="false" ht="12.8" hidden="false" customHeight="false" outlineLevel="0" collapsed="false">
      <c r="A306" s="3" t="n">
        <v>45499.6576388889</v>
      </c>
      <c r="B306" s="1" t="s">
        <v>926</v>
      </c>
      <c r="C306" s="1" t="s">
        <v>927</v>
      </c>
      <c r="D306" s="4" t="s">
        <v>928</v>
      </c>
      <c r="E306" s="1" t="s">
        <v>17</v>
      </c>
      <c r="F306" s="1" t="s">
        <v>13</v>
      </c>
      <c r="G306" s="1" t="str">
        <f aca="false">TEXT(A306,"YYYY-MM-DD")</f>
        <v>2024-07-26</v>
      </c>
      <c r="H306" s="1" t="str">
        <f aca="false">TEXT(A306,"HH:MM")</f>
        <v>15:47</v>
      </c>
      <c r="I306" s="0" t="str">
        <f aca="false">IFERROR(VLOOKUP(C306,threat_intelligence!A:B,2,0),"CLEAN")</f>
        <v>CLEAN</v>
      </c>
    </row>
    <row r="307" customFormat="false" ht="12.8" hidden="false" customHeight="false" outlineLevel="0" collapsed="false">
      <c r="A307" s="3" t="n">
        <v>45499.78125</v>
      </c>
      <c r="B307" s="1" t="s">
        <v>929</v>
      </c>
      <c r="C307" s="1" t="s">
        <v>930</v>
      </c>
      <c r="D307" s="4" t="s">
        <v>931</v>
      </c>
      <c r="E307" s="1" t="s">
        <v>17</v>
      </c>
      <c r="F307" s="1" t="s">
        <v>25</v>
      </c>
      <c r="G307" s="1" t="str">
        <f aca="false">TEXT(A307,"YYYY-MM-DD")</f>
        <v>2024-07-26</v>
      </c>
      <c r="H307" s="1" t="str">
        <f aca="false">TEXT(A307,"HH:MM")</f>
        <v>18:45</v>
      </c>
      <c r="I307" s="0" t="str">
        <f aca="false">IFERROR(VLOOKUP(C307,threat_intelligence!A:B,2,0),"CLEAN")</f>
        <v>CLEAN</v>
      </c>
    </row>
    <row r="308" customFormat="false" ht="12.8" hidden="false" customHeight="false" outlineLevel="0" collapsed="false">
      <c r="A308" s="3" t="n">
        <v>45500.0131944444</v>
      </c>
      <c r="B308" s="1" t="s">
        <v>932</v>
      </c>
      <c r="C308" s="1" t="s">
        <v>933</v>
      </c>
      <c r="D308" s="4" t="s">
        <v>934</v>
      </c>
      <c r="E308" s="1" t="s">
        <v>12</v>
      </c>
      <c r="F308" s="1" t="s">
        <v>25</v>
      </c>
      <c r="G308" s="1" t="str">
        <f aca="false">TEXT(A308,"YYYY-MM-DD")</f>
        <v>2024-07-27</v>
      </c>
      <c r="H308" s="1" t="str">
        <f aca="false">TEXT(A308,"HH:MM")</f>
        <v>00:19</v>
      </c>
      <c r="I308" s="0" t="str">
        <f aca="false">IFERROR(VLOOKUP(C308,threat_intelligence!A:B,2,0),"CLEAN")</f>
        <v>CLEAN</v>
      </c>
    </row>
    <row r="309" customFormat="false" ht="12.8" hidden="false" customHeight="false" outlineLevel="0" collapsed="false">
      <c r="A309" s="3" t="n">
        <v>45499.5451388889</v>
      </c>
      <c r="B309" s="1" t="s">
        <v>935</v>
      </c>
      <c r="C309" s="1" t="s">
        <v>936</v>
      </c>
      <c r="D309" s="4" t="s">
        <v>937</v>
      </c>
      <c r="E309" s="1" t="s">
        <v>12</v>
      </c>
      <c r="F309" s="1" t="s">
        <v>25</v>
      </c>
      <c r="G309" s="1" t="str">
        <f aca="false">TEXT(A309,"YYYY-MM-DD")</f>
        <v>2024-07-26</v>
      </c>
      <c r="H309" s="1" t="str">
        <f aca="false">TEXT(A309,"HH:MM")</f>
        <v>13:05</v>
      </c>
      <c r="I309" s="0" t="str">
        <f aca="false">IFERROR(VLOOKUP(C309,threat_intelligence!A:B,2,0),"CLEAN")</f>
        <v>CLEAN</v>
      </c>
    </row>
    <row r="310" customFormat="false" ht="12.8" hidden="false" customHeight="false" outlineLevel="0" collapsed="false">
      <c r="A310" s="3" t="n">
        <v>45499.5291666667</v>
      </c>
      <c r="B310" s="1" t="s">
        <v>938</v>
      </c>
      <c r="C310" s="1" t="s">
        <v>939</v>
      </c>
      <c r="D310" s="4" t="s">
        <v>940</v>
      </c>
      <c r="E310" s="1" t="s">
        <v>17</v>
      </c>
      <c r="F310" s="1" t="s">
        <v>13</v>
      </c>
      <c r="G310" s="1" t="str">
        <f aca="false">TEXT(A310,"YYYY-MM-DD")</f>
        <v>2024-07-26</v>
      </c>
      <c r="H310" s="1" t="str">
        <f aca="false">TEXT(A310,"HH:MM")</f>
        <v>12:42</v>
      </c>
      <c r="I310" s="0" t="str">
        <f aca="false">IFERROR(VLOOKUP(C310,threat_intelligence!A:B,2,0),"CLEAN")</f>
        <v>CLEAN</v>
      </c>
    </row>
    <row r="311" customFormat="false" ht="12.8" hidden="false" customHeight="false" outlineLevel="0" collapsed="false">
      <c r="A311" s="3" t="n">
        <v>45499.3631944445</v>
      </c>
      <c r="B311" s="1" t="s">
        <v>941</v>
      </c>
      <c r="C311" s="1" t="s">
        <v>942</v>
      </c>
      <c r="D311" s="4" t="s">
        <v>943</v>
      </c>
      <c r="E311" s="1" t="s">
        <v>12</v>
      </c>
      <c r="F311" s="1" t="s">
        <v>13</v>
      </c>
      <c r="G311" s="1" t="str">
        <f aca="false">TEXT(A311,"YYYY-MM-DD")</f>
        <v>2024-07-26</v>
      </c>
      <c r="H311" s="1" t="str">
        <f aca="false">TEXT(A311,"HH:MM")</f>
        <v>08:43</v>
      </c>
      <c r="I311" s="0" t="str">
        <f aca="false">IFERROR(VLOOKUP(C311,threat_intelligence!A:B,2,0),"CLEAN")</f>
        <v>CLEAN</v>
      </c>
    </row>
    <row r="312" customFormat="false" ht="12.8" hidden="false" customHeight="false" outlineLevel="0" collapsed="false">
      <c r="A312" s="3" t="n">
        <v>45499.51875</v>
      </c>
      <c r="B312" s="1" t="s">
        <v>944</v>
      </c>
      <c r="C312" s="1" t="s">
        <v>945</v>
      </c>
      <c r="D312" s="4" t="s">
        <v>946</v>
      </c>
      <c r="E312" s="1" t="s">
        <v>21</v>
      </c>
      <c r="F312" s="1" t="s">
        <v>25</v>
      </c>
      <c r="G312" s="1" t="str">
        <f aca="false">TEXT(A312,"YYYY-MM-DD")</f>
        <v>2024-07-26</v>
      </c>
      <c r="H312" s="1" t="str">
        <f aca="false">TEXT(A312,"HH:MM")</f>
        <v>12:27</v>
      </c>
      <c r="I312" s="0" t="str">
        <f aca="false">IFERROR(VLOOKUP(C312,threat_intelligence!A:B,2,0),"CLEAN")</f>
        <v>CLEAN</v>
      </c>
    </row>
    <row r="313" customFormat="false" ht="12.8" hidden="false" customHeight="false" outlineLevel="0" collapsed="false">
      <c r="A313" s="3" t="n">
        <v>45499.8180555556</v>
      </c>
      <c r="B313" s="1" t="s">
        <v>947</v>
      </c>
      <c r="C313" s="1" t="s">
        <v>948</v>
      </c>
      <c r="D313" s="4" t="s">
        <v>949</v>
      </c>
      <c r="E313" s="1" t="s">
        <v>21</v>
      </c>
      <c r="F313" s="1" t="s">
        <v>25</v>
      </c>
      <c r="G313" s="1" t="str">
        <f aca="false">TEXT(A313,"YYYY-MM-DD")</f>
        <v>2024-07-26</v>
      </c>
      <c r="H313" s="1" t="str">
        <f aca="false">TEXT(A313,"HH:MM")</f>
        <v>19:38</v>
      </c>
      <c r="I313" s="0" t="str">
        <f aca="false">IFERROR(VLOOKUP(C313,threat_intelligence!A:B,2,0),"CLEAN")</f>
        <v>CLEAN</v>
      </c>
    </row>
    <row r="314" customFormat="false" ht="12.8" hidden="false" customHeight="false" outlineLevel="0" collapsed="false">
      <c r="A314" s="3" t="n">
        <v>45500.0541666667</v>
      </c>
      <c r="B314" s="1" t="s">
        <v>950</v>
      </c>
      <c r="C314" s="1" t="s">
        <v>951</v>
      </c>
      <c r="D314" s="4" t="s">
        <v>952</v>
      </c>
      <c r="E314" s="1" t="s">
        <v>17</v>
      </c>
      <c r="F314" s="1" t="s">
        <v>25</v>
      </c>
      <c r="G314" s="1" t="str">
        <f aca="false">TEXT(A314,"YYYY-MM-DD")</f>
        <v>2024-07-27</v>
      </c>
      <c r="H314" s="1" t="str">
        <f aca="false">TEXT(A314,"HH:MM")</f>
        <v>01:18</v>
      </c>
      <c r="I314" s="0" t="str">
        <f aca="false">IFERROR(VLOOKUP(C314,threat_intelligence!A:B,2,0),"CLEAN")</f>
        <v>CLEAN</v>
      </c>
    </row>
    <row r="315" customFormat="false" ht="12.8" hidden="false" customHeight="false" outlineLevel="0" collapsed="false">
      <c r="A315" s="3" t="n">
        <v>45500.1819444444</v>
      </c>
      <c r="B315" s="1" t="s">
        <v>953</v>
      </c>
      <c r="C315" s="1" t="s">
        <v>954</v>
      </c>
      <c r="D315" s="4" t="s">
        <v>955</v>
      </c>
      <c r="E315" s="1" t="s">
        <v>12</v>
      </c>
      <c r="F315" s="1" t="s">
        <v>25</v>
      </c>
      <c r="G315" s="1" t="str">
        <f aca="false">TEXT(A315,"YYYY-MM-DD")</f>
        <v>2024-07-27</v>
      </c>
      <c r="H315" s="1" t="str">
        <f aca="false">TEXT(A315,"HH:MM")</f>
        <v>04:22</v>
      </c>
      <c r="I315" s="0" t="str">
        <f aca="false">IFERROR(VLOOKUP(C315,threat_intelligence!A:B,2,0),"CLEAN")</f>
        <v>CLEAN</v>
      </c>
    </row>
    <row r="316" customFormat="false" ht="12.8" hidden="false" customHeight="false" outlineLevel="0" collapsed="false">
      <c r="A316" s="3" t="n">
        <v>45500.3277777778</v>
      </c>
      <c r="B316" s="1" t="s">
        <v>956</v>
      </c>
      <c r="C316" s="1" t="s">
        <v>957</v>
      </c>
      <c r="D316" s="4" t="s">
        <v>958</v>
      </c>
      <c r="E316" s="1" t="s">
        <v>17</v>
      </c>
      <c r="F316" s="1" t="s">
        <v>25</v>
      </c>
      <c r="G316" s="1" t="str">
        <f aca="false">TEXT(A316,"YYYY-MM-DD")</f>
        <v>2024-07-27</v>
      </c>
      <c r="H316" s="1" t="str">
        <f aca="false">TEXT(A316,"HH:MM")</f>
        <v>07:52</v>
      </c>
      <c r="I316" s="0" t="str">
        <f aca="false">IFERROR(VLOOKUP(C316,threat_intelligence!A:B,2,0),"CLEAN")</f>
        <v>CLEAN</v>
      </c>
    </row>
    <row r="317" customFormat="false" ht="12.8" hidden="false" customHeight="false" outlineLevel="0" collapsed="false">
      <c r="A317" s="3" t="n">
        <v>45499.4277777778</v>
      </c>
      <c r="B317" s="1" t="s">
        <v>959</v>
      </c>
      <c r="C317" s="1" t="s">
        <v>960</v>
      </c>
      <c r="D317" s="4" t="s">
        <v>961</v>
      </c>
      <c r="E317" s="1" t="s">
        <v>21</v>
      </c>
      <c r="F317" s="1" t="s">
        <v>25</v>
      </c>
      <c r="G317" s="1" t="str">
        <f aca="false">TEXT(A317,"YYYY-MM-DD")</f>
        <v>2024-07-26</v>
      </c>
      <c r="H317" s="1" t="str">
        <f aca="false">TEXT(A317,"HH:MM")</f>
        <v>10:16</v>
      </c>
      <c r="I317" s="0" t="str">
        <f aca="false">IFERROR(VLOOKUP(C317,threat_intelligence!A:B,2,0),"CLEAN")</f>
        <v>CLEAN</v>
      </c>
    </row>
    <row r="318" customFormat="false" ht="12.8" hidden="false" customHeight="false" outlineLevel="0" collapsed="false">
      <c r="A318" s="3" t="n">
        <v>45499.6916666667</v>
      </c>
      <c r="B318" s="1" t="s">
        <v>962</v>
      </c>
      <c r="C318" s="1" t="s">
        <v>963</v>
      </c>
      <c r="D318" s="4" t="s">
        <v>964</v>
      </c>
      <c r="E318" s="1" t="s">
        <v>12</v>
      </c>
      <c r="F318" s="1" t="s">
        <v>25</v>
      </c>
      <c r="G318" s="1" t="str">
        <f aca="false">TEXT(A318,"YYYY-MM-DD")</f>
        <v>2024-07-26</v>
      </c>
      <c r="H318" s="1" t="str">
        <f aca="false">TEXT(A318,"HH:MM")</f>
        <v>16:36</v>
      </c>
      <c r="I318" s="0" t="str">
        <f aca="false">IFERROR(VLOOKUP(C318,threat_intelligence!A:B,2,0),"CLEAN")</f>
        <v>CLEAN</v>
      </c>
    </row>
    <row r="319" customFormat="false" ht="12.8" hidden="false" customHeight="false" outlineLevel="0" collapsed="false">
      <c r="A319" s="3" t="n">
        <v>45499.7076388889</v>
      </c>
      <c r="B319" s="1" t="s">
        <v>965</v>
      </c>
      <c r="C319" s="1" t="s">
        <v>966</v>
      </c>
      <c r="D319" s="4" t="s">
        <v>967</v>
      </c>
      <c r="E319" s="1" t="s">
        <v>17</v>
      </c>
      <c r="F319" s="1" t="s">
        <v>25</v>
      </c>
      <c r="G319" s="1" t="str">
        <f aca="false">TEXT(A319,"YYYY-MM-DD")</f>
        <v>2024-07-26</v>
      </c>
      <c r="H319" s="1" t="str">
        <f aca="false">TEXT(A319,"HH:MM")</f>
        <v>16:59</v>
      </c>
      <c r="I319" s="0" t="str">
        <f aca="false">IFERROR(VLOOKUP(C319,threat_intelligence!A:B,2,0),"CLEAN")</f>
        <v>CLEAN</v>
      </c>
    </row>
    <row r="320" customFormat="false" ht="12.8" hidden="false" customHeight="false" outlineLevel="0" collapsed="false">
      <c r="A320" s="3" t="n">
        <v>45499.9118055556</v>
      </c>
      <c r="B320" s="1" t="s">
        <v>968</v>
      </c>
      <c r="C320" s="1" t="s">
        <v>969</v>
      </c>
      <c r="D320" s="4" t="s">
        <v>970</v>
      </c>
      <c r="E320" s="1" t="s">
        <v>21</v>
      </c>
      <c r="F320" s="1" t="s">
        <v>13</v>
      </c>
      <c r="G320" s="1" t="str">
        <f aca="false">TEXT(A320,"YYYY-MM-DD")</f>
        <v>2024-07-26</v>
      </c>
      <c r="H320" s="1" t="str">
        <f aca="false">TEXT(A320,"HH:MM")</f>
        <v>21:53</v>
      </c>
      <c r="I320" s="0" t="str">
        <f aca="false">IFERROR(VLOOKUP(C320,threat_intelligence!A:B,2,0),"CLEAN")</f>
        <v>CLEAN</v>
      </c>
    </row>
    <row r="321" customFormat="false" ht="12.8" hidden="false" customHeight="false" outlineLevel="0" collapsed="false">
      <c r="A321" s="3" t="n">
        <v>45500.0520833333</v>
      </c>
      <c r="B321" s="1" t="s">
        <v>971</v>
      </c>
      <c r="C321" s="1" t="s">
        <v>972</v>
      </c>
      <c r="D321" s="4" t="s">
        <v>973</v>
      </c>
      <c r="E321" s="1" t="s">
        <v>12</v>
      </c>
      <c r="F321" s="1" t="s">
        <v>13</v>
      </c>
      <c r="G321" s="1" t="str">
        <f aca="false">TEXT(A321,"YYYY-MM-DD")</f>
        <v>2024-07-27</v>
      </c>
      <c r="H321" s="1" t="str">
        <f aca="false">TEXT(A321,"HH:MM")</f>
        <v>01:15</v>
      </c>
      <c r="I321" s="0" t="str">
        <f aca="false">IFERROR(VLOOKUP(C321,threat_intelligence!A:B,2,0),"CLEAN")</f>
        <v>CLEAN</v>
      </c>
    </row>
    <row r="322" customFormat="false" ht="12.8" hidden="false" customHeight="false" outlineLevel="0" collapsed="false">
      <c r="A322" s="3" t="n">
        <v>45500.0847222222</v>
      </c>
      <c r="B322" s="1" t="s">
        <v>974</v>
      </c>
      <c r="C322" s="1" t="s">
        <v>975</v>
      </c>
      <c r="D322" s="4" t="s">
        <v>976</v>
      </c>
      <c r="E322" s="1" t="s">
        <v>21</v>
      </c>
      <c r="F322" s="1" t="s">
        <v>25</v>
      </c>
      <c r="G322" s="1" t="str">
        <f aca="false">TEXT(A322,"YYYY-MM-DD")</f>
        <v>2024-07-27</v>
      </c>
      <c r="H322" s="1" t="str">
        <f aca="false">TEXT(A322,"HH:MM")</f>
        <v>02:02</v>
      </c>
      <c r="I322" s="0" t="str">
        <f aca="false">IFERROR(VLOOKUP(C322,threat_intelligence!A:B,2,0),"CLEAN")</f>
        <v>CLEAN</v>
      </c>
    </row>
    <row r="323" customFormat="false" ht="12.8" hidden="false" customHeight="false" outlineLevel="0" collapsed="false">
      <c r="A323" s="3" t="n">
        <v>45499.6256944445</v>
      </c>
      <c r="B323" s="1" t="s">
        <v>977</v>
      </c>
      <c r="C323" s="1" t="s">
        <v>978</v>
      </c>
      <c r="D323" s="4" t="s">
        <v>979</v>
      </c>
      <c r="E323" s="1" t="s">
        <v>12</v>
      </c>
      <c r="F323" s="1" t="s">
        <v>25</v>
      </c>
      <c r="G323" s="1" t="str">
        <f aca="false">TEXT(A323,"YYYY-MM-DD")</f>
        <v>2024-07-26</v>
      </c>
      <c r="H323" s="1" t="str">
        <f aca="false">TEXT(A323,"HH:MM")</f>
        <v>15:01</v>
      </c>
      <c r="I323" s="0" t="str">
        <f aca="false">IFERROR(VLOOKUP(C323,threat_intelligence!A:B,2,0),"CLEAN")</f>
        <v>CLEAN</v>
      </c>
    </row>
    <row r="324" customFormat="false" ht="12.8" hidden="false" customHeight="false" outlineLevel="0" collapsed="false">
      <c r="A324" s="3" t="n">
        <v>45499.3715277778</v>
      </c>
      <c r="B324" s="1" t="s">
        <v>980</v>
      </c>
      <c r="C324" s="1" t="s">
        <v>981</v>
      </c>
      <c r="D324" s="4" t="s">
        <v>982</v>
      </c>
      <c r="E324" s="1" t="s">
        <v>17</v>
      </c>
      <c r="F324" s="1" t="s">
        <v>25</v>
      </c>
      <c r="G324" s="1" t="str">
        <f aca="false">TEXT(A324,"YYYY-MM-DD")</f>
        <v>2024-07-26</v>
      </c>
      <c r="H324" s="1" t="str">
        <f aca="false">TEXT(A324,"HH:MM")</f>
        <v>08:55</v>
      </c>
      <c r="I324" s="0" t="str">
        <f aca="false">IFERROR(VLOOKUP(C324,threat_intelligence!A:B,2,0),"CLEAN")</f>
        <v>CLEAN</v>
      </c>
    </row>
    <row r="325" customFormat="false" ht="12.8" hidden="false" customHeight="false" outlineLevel="0" collapsed="false">
      <c r="A325" s="3" t="n">
        <v>45499.4493055556</v>
      </c>
      <c r="B325" s="1" t="s">
        <v>983</v>
      </c>
      <c r="C325" s="1" t="s">
        <v>984</v>
      </c>
      <c r="D325" s="4" t="s">
        <v>985</v>
      </c>
      <c r="E325" s="1" t="s">
        <v>12</v>
      </c>
      <c r="F325" s="1" t="s">
        <v>13</v>
      </c>
      <c r="G325" s="1" t="str">
        <f aca="false">TEXT(A325,"YYYY-MM-DD")</f>
        <v>2024-07-26</v>
      </c>
      <c r="H325" s="1" t="str">
        <f aca="false">TEXT(A325,"HH:MM")</f>
        <v>10:47</v>
      </c>
      <c r="I325" s="0" t="str">
        <f aca="false">IFERROR(VLOOKUP(C325,threat_intelligence!A:B,2,0),"CLEAN")</f>
        <v>CLEAN</v>
      </c>
    </row>
    <row r="326" customFormat="false" ht="12.8" hidden="false" customHeight="false" outlineLevel="0" collapsed="false">
      <c r="A326" s="3" t="n">
        <v>45499.3493055556</v>
      </c>
      <c r="B326" s="1" t="s">
        <v>986</v>
      </c>
      <c r="C326" s="1" t="s">
        <v>987</v>
      </c>
      <c r="D326" s="4" t="s">
        <v>988</v>
      </c>
      <c r="E326" s="1" t="s">
        <v>21</v>
      </c>
      <c r="F326" s="1" t="s">
        <v>13</v>
      </c>
      <c r="G326" s="1" t="str">
        <f aca="false">TEXT(A326,"YYYY-MM-DD")</f>
        <v>2024-07-26</v>
      </c>
      <c r="H326" s="1" t="str">
        <f aca="false">TEXT(A326,"HH:MM")</f>
        <v>08:23</v>
      </c>
      <c r="I326" s="0" t="str">
        <f aca="false">IFERROR(VLOOKUP(C326,threat_intelligence!A:B,2,0),"CLEAN")</f>
        <v>CLEAN</v>
      </c>
    </row>
    <row r="327" customFormat="false" ht="12.8" hidden="false" customHeight="false" outlineLevel="0" collapsed="false">
      <c r="A327" s="3" t="n">
        <v>45499.7729166667</v>
      </c>
      <c r="B327" s="1" t="s">
        <v>989</v>
      </c>
      <c r="C327" s="1" t="s">
        <v>990</v>
      </c>
      <c r="D327" s="4" t="s">
        <v>991</v>
      </c>
      <c r="E327" s="1" t="s">
        <v>12</v>
      </c>
      <c r="F327" s="1" t="s">
        <v>25</v>
      </c>
      <c r="G327" s="1" t="str">
        <f aca="false">TEXT(A327,"YYYY-MM-DD")</f>
        <v>2024-07-26</v>
      </c>
      <c r="H327" s="1" t="str">
        <f aca="false">TEXT(A327,"HH:MM")</f>
        <v>18:33</v>
      </c>
      <c r="I327" s="0" t="str">
        <f aca="false">IFERROR(VLOOKUP(C327,threat_intelligence!A:B,2,0),"CLEAN")</f>
        <v>CLEAN</v>
      </c>
    </row>
    <row r="328" customFormat="false" ht="12.8" hidden="false" customHeight="false" outlineLevel="0" collapsed="false">
      <c r="A328" s="3" t="n">
        <v>45499.5444444444</v>
      </c>
      <c r="B328" s="1" t="s">
        <v>992</v>
      </c>
      <c r="C328" s="1" t="s">
        <v>993</v>
      </c>
      <c r="D328" s="4" t="s">
        <v>994</v>
      </c>
      <c r="E328" s="1" t="s">
        <v>21</v>
      </c>
      <c r="F328" s="1" t="s">
        <v>13</v>
      </c>
      <c r="G328" s="1" t="str">
        <f aca="false">TEXT(A328,"YYYY-MM-DD")</f>
        <v>2024-07-26</v>
      </c>
      <c r="H328" s="1" t="str">
        <f aca="false">TEXT(A328,"HH:MM")</f>
        <v>13:04</v>
      </c>
      <c r="I328" s="0" t="str">
        <f aca="false">IFERROR(VLOOKUP(C328,threat_intelligence!A:B,2,0),"CLEAN")</f>
        <v>CLEAN</v>
      </c>
    </row>
    <row r="329" customFormat="false" ht="12.8" hidden="false" customHeight="false" outlineLevel="0" collapsed="false">
      <c r="A329" s="3" t="n">
        <v>45499.6875</v>
      </c>
      <c r="B329" s="1" t="s">
        <v>995</v>
      </c>
      <c r="C329" s="1" t="s">
        <v>996</v>
      </c>
      <c r="D329" s="4" t="s">
        <v>997</v>
      </c>
      <c r="E329" s="1" t="s">
        <v>21</v>
      </c>
      <c r="F329" s="1" t="s">
        <v>13</v>
      </c>
      <c r="G329" s="1" t="str">
        <f aca="false">TEXT(A329,"YYYY-MM-DD")</f>
        <v>2024-07-26</v>
      </c>
      <c r="H329" s="1" t="str">
        <f aca="false">TEXT(A329,"HH:MM")</f>
        <v>16:30</v>
      </c>
      <c r="I329" s="0" t="str">
        <f aca="false">IFERROR(VLOOKUP(C329,threat_intelligence!A:B,2,0),"CLEAN")</f>
        <v>CLEAN</v>
      </c>
    </row>
    <row r="330" customFormat="false" ht="12.8" hidden="false" customHeight="false" outlineLevel="0" collapsed="false">
      <c r="A330" s="3" t="n">
        <v>45499.4791666667</v>
      </c>
      <c r="B330" s="1" t="s">
        <v>998</v>
      </c>
      <c r="C330" s="1" t="s">
        <v>999</v>
      </c>
      <c r="D330" s="4" t="s">
        <v>1000</v>
      </c>
      <c r="E330" s="1" t="s">
        <v>12</v>
      </c>
      <c r="F330" s="1" t="s">
        <v>13</v>
      </c>
      <c r="G330" s="1" t="str">
        <f aca="false">TEXT(A330,"YYYY-MM-DD")</f>
        <v>2024-07-26</v>
      </c>
      <c r="H330" s="1" t="str">
        <f aca="false">TEXT(A330,"HH:MM")</f>
        <v>11:30</v>
      </c>
      <c r="I330" s="0" t="str">
        <f aca="false">IFERROR(VLOOKUP(C330,threat_intelligence!A:B,2,0),"CLEAN")</f>
        <v>CLEAN</v>
      </c>
    </row>
    <row r="331" customFormat="false" ht="12.8" hidden="false" customHeight="false" outlineLevel="0" collapsed="false">
      <c r="A331" s="3" t="n">
        <v>45499.6875</v>
      </c>
      <c r="B331" s="1" t="s">
        <v>1001</v>
      </c>
      <c r="C331" s="1" t="s">
        <v>1002</v>
      </c>
      <c r="D331" s="4" t="s">
        <v>1003</v>
      </c>
      <c r="E331" s="1" t="s">
        <v>17</v>
      </c>
      <c r="F331" s="1" t="s">
        <v>13</v>
      </c>
      <c r="G331" s="1" t="str">
        <f aca="false">TEXT(A331,"YYYY-MM-DD")</f>
        <v>2024-07-26</v>
      </c>
      <c r="H331" s="1" t="str">
        <f aca="false">TEXT(A331,"HH:MM")</f>
        <v>16:30</v>
      </c>
      <c r="I331" s="0" t="str">
        <f aca="false">IFERROR(VLOOKUP(C331,threat_intelligence!A:B,2,0),"CLEAN")</f>
        <v>CLEAN</v>
      </c>
    </row>
    <row r="332" customFormat="false" ht="12.8" hidden="false" customHeight="false" outlineLevel="0" collapsed="false">
      <c r="A332" s="3" t="n">
        <v>45499.8076388889</v>
      </c>
      <c r="B332" s="1" t="s">
        <v>1004</v>
      </c>
      <c r="C332" s="1" t="s">
        <v>1005</v>
      </c>
      <c r="D332" s="4" t="s">
        <v>1006</v>
      </c>
      <c r="E332" s="1" t="s">
        <v>12</v>
      </c>
      <c r="F332" s="1" t="s">
        <v>13</v>
      </c>
      <c r="G332" s="1" t="str">
        <f aca="false">TEXT(A332,"YYYY-MM-DD")</f>
        <v>2024-07-26</v>
      </c>
      <c r="H332" s="1" t="str">
        <f aca="false">TEXT(A332,"HH:MM")</f>
        <v>19:23</v>
      </c>
      <c r="I332" s="0" t="str">
        <f aca="false">IFERROR(VLOOKUP(C332,threat_intelligence!A:B,2,0),"CLEAN")</f>
        <v>CLEAN</v>
      </c>
    </row>
    <row r="333" customFormat="false" ht="12.8" hidden="false" customHeight="false" outlineLevel="0" collapsed="false">
      <c r="A333" s="3" t="n">
        <v>45499.7583333333</v>
      </c>
      <c r="B333" s="1" t="s">
        <v>1007</v>
      </c>
      <c r="C333" s="1" t="s">
        <v>1008</v>
      </c>
      <c r="D333" s="4" t="s">
        <v>1009</v>
      </c>
      <c r="E333" s="1" t="s">
        <v>17</v>
      </c>
      <c r="F333" s="1" t="s">
        <v>13</v>
      </c>
      <c r="G333" s="1" t="str">
        <f aca="false">TEXT(A333,"YYYY-MM-DD")</f>
        <v>2024-07-26</v>
      </c>
      <c r="H333" s="1" t="str">
        <f aca="false">TEXT(A333,"HH:MM")</f>
        <v>18:12</v>
      </c>
      <c r="I333" s="0" t="str">
        <f aca="false">IFERROR(VLOOKUP(C333,threat_intelligence!A:B,2,0),"CLEAN")</f>
        <v>CLEAN</v>
      </c>
    </row>
    <row r="334" customFormat="false" ht="12.8" hidden="false" customHeight="false" outlineLevel="0" collapsed="false">
      <c r="A334" s="3" t="n">
        <v>45499.9819444444</v>
      </c>
      <c r="B334" s="1" t="s">
        <v>1010</v>
      </c>
      <c r="C334" s="1" t="s">
        <v>1011</v>
      </c>
      <c r="D334" s="4" t="s">
        <v>1012</v>
      </c>
      <c r="E334" s="1" t="s">
        <v>17</v>
      </c>
      <c r="F334" s="1" t="s">
        <v>13</v>
      </c>
      <c r="G334" s="1" t="str">
        <f aca="false">TEXT(A334,"YYYY-MM-DD")</f>
        <v>2024-07-26</v>
      </c>
      <c r="H334" s="1" t="str">
        <f aca="false">TEXT(A334,"HH:MM")</f>
        <v>23:34</v>
      </c>
      <c r="I334" s="0" t="str">
        <f aca="false">IFERROR(VLOOKUP(C334,threat_intelligence!A:B,2,0),"CLEAN")</f>
        <v>CLEAN</v>
      </c>
    </row>
    <row r="335" customFormat="false" ht="12.8" hidden="false" customHeight="false" outlineLevel="0" collapsed="false">
      <c r="A335" s="3" t="n">
        <v>45499.44375</v>
      </c>
      <c r="B335" s="1" t="s">
        <v>1013</v>
      </c>
      <c r="C335" s="1" t="s">
        <v>1014</v>
      </c>
      <c r="D335" s="4" t="s">
        <v>1015</v>
      </c>
      <c r="E335" s="1" t="s">
        <v>17</v>
      </c>
      <c r="F335" s="1" t="s">
        <v>13</v>
      </c>
      <c r="G335" s="1" t="str">
        <f aca="false">TEXT(A335,"YYYY-MM-DD")</f>
        <v>2024-07-26</v>
      </c>
      <c r="H335" s="1" t="str">
        <f aca="false">TEXT(A335,"HH:MM")</f>
        <v>10:39</v>
      </c>
      <c r="I335" s="0" t="str">
        <f aca="false">IFERROR(VLOOKUP(C335,threat_intelligence!A:B,2,0),"CLEAN")</f>
        <v>CLEAN</v>
      </c>
    </row>
    <row r="336" customFormat="false" ht="12.8" hidden="false" customHeight="false" outlineLevel="0" collapsed="false">
      <c r="A336" s="3" t="n">
        <v>45499.3534722222</v>
      </c>
      <c r="B336" s="1" t="s">
        <v>1016</v>
      </c>
      <c r="C336" s="1" t="s">
        <v>1017</v>
      </c>
      <c r="D336" s="4" t="s">
        <v>1018</v>
      </c>
      <c r="E336" s="1" t="s">
        <v>21</v>
      </c>
      <c r="F336" s="1" t="s">
        <v>13</v>
      </c>
      <c r="G336" s="1" t="str">
        <f aca="false">TEXT(A336,"YYYY-MM-DD")</f>
        <v>2024-07-26</v>
      </c>
      <c r="H336" s="1" t="str">
        <f aca="false">TEXT(A336,"HH:MM")</f>
        <v>08:29</v>
      </c>
      <c r="I336" s="0" t="str">
        <f aca="false">IFERROR(VLOOKUP(C336,threat_intelligence!A:B,2,0),"CLEAN")</f>
        <v>CLEAN</v>
      </c>
    </row>
    <row r="337" customFormat="false" ht="12.8" hidden="false" customHeight="false" outlineLevel="0" collapsed="false">
      <c r="A337" s="3" t="n">
        <v>45499.4534722222</v>
      </c>
      <c r="B337" s="1" t="s">
        <v>1019</v>
      </c>
      <c r="C337" s="1" t="s">
        <v>1020</v>
      </c>
      <c r="D337" s="4" t="s">
        <v>1021</v>
      </c>
      <c r="E337" s="1" t="s">
        <v>21</v>
      </c>
      <c r="F337" s="1" t="s">
        <v>13</v>
      </c>
      <c r="G337" s="1" t="str">
        <f aca="false">TEXT(A337,"YYYY-MM-DD")</f>
        <v>2024-07-26</v>
      </c>
      <c r="H337" s="1" t="str">
        <f aca="false">TEXT(A337,"HH:MM")</f>
        <v>10:53</v>
      </c>
      <c r="I337" s="0" t="str">
        <f aca="false">IFERROR(VLOOKUP(C337,threat_intelligence!A:B,2,0),"CLEAN")</f>
        <v>CLEAN</v>
      </c>
    </row>
    <row r="338" customFormat="false" ht="12.8" hidden="false" customHeight="false" outlineLevel="0" collapsed="false">
      <c r="A338" s="3" t="n">
        <v>45499.9229166667</v>
      </c>
      <c r="B338" s="1" t="s">
        <v>1022</v>
      </c>
      <c r="C338" s="1" t="s">
        <v>1023</v>
      </c>
      <c r="D338" s="4" t="s">
        <v>1024</v>
      </c>
      <c r="E338" s="1" t="s">
        <v>21</v>
      </c>
      <c r="F338" s="1" t="s">
        <v>13</v>
      </c>
      <c r="G338" s="1" t="str">
        <f aca="false">TEXT(A338,"YYYY-MM-DD")</f>
        <v>2024-07-26</v>
      </c>
      <c r="H338" s="1" t="str">
        <f aca="false">TEXT(A338,"HH:MM")</f>
        <v>22:09</v>
      </c>
      <c r="I338" s="0" t="str">
        <f aca="false">IFERROR(VLOOKUP(C338,threat_intelligence!A:B,2,0),"CLEAN")</f>
        <v>CLEAN</v>
      </c>
    </row>
    <row r="339" customFormat="false" ht="12.8" hidden="false" customHeight="false" outlineLevel="0" collapsed="false">
      <c r="A339" s="3" t="n">
        <v>45499.6409722222</v>
      </c>
      <c r="B339" s="1" t="s">
        <v>1025</v>
      </c>
      <c r="C339" s="1" t="s">
        <v>1026</v>
      </c>
      <c r="D339" s="4" t="s">
        <v>1027</v>
      </c>
      <c r="E339" s="1" t="s">
        <v>21</v>
      </c>
      <c r="F339" s="1" t="s">
        <v>13</v>
      </c>
      <c r="G339" s="1" t="str">
        <f aca="false">TEXT(A339,"YYYY-MM-DD")</f>
        <v>2024-07-26</v>
      </c>
      <c r="H339" s="1" t="str">
        <f aca="false">TEXT(A339,"HH:MM")</f>
        <v>15:23</v>
      </c>
      <c r="I339" s="0" t="str">
        <f aca="false">IFERROR(VLOOKUP(C339,threat_intelligence!A:B,2,0),"CLEAN")</f>
        <v>CLEAN</v>
      </c>
    </row>
    <row r="340" customFormat="false" ht="12.8" hidden="false" customHeight="false" outlineLevel="0" collapsed="false">
      <c r="A340" s="3" t="n">
        <v>45499.9027777778</v>
      </c>
      <c r="B340" s="1" t="s">
        <v>1028</v>
      </c>
      <c r="C340" s="1" t="s">
        <v>1029</v>
      </c>
      <c r="D340" s="4" t="s">
        <v>1030</v>
      </c>
      <c r="E340" s="1" t="s">
        <v>17</v>
      </c>
      <c r="F340" s="1" t="s">
        <v>25</v>
      </c>
      <c r="G340" s="1" t="str">
        <f aca="false">TEXT(A340,"YYYY-MM-DD")</f>
        <v>2024-07-26</v>
      </c>
      <c r="H340" s="1" t="str">
        <f aca="false">TEXT(A340,"HH:MM")</f>
        <v>21:40</v>
      </c>
      <c r="I340" s="0" t="str">
        <f aca="false">IFERROR(VLOOKUP(C340,threat_intelligence!A:B,2,0),"CLEAN")</f>
        <v>CLEAN</v>
      </c>
    </row>
    <row r="341" customFormat="false" ht="12.8" hidden="false" customHeight="false" outlineLevel="0" collapsed="false">
      <c r="A341" s="3" t="n">
        <v>45499.8145833333</v>
      </c>
      <c r="B341" s="1" t="s">
        <v>1031</v>
      </c>
      <c r="C341" s="1" t="s">
        <v>1032</v>
      </c>
      <c r="D341" s="4" t="s">
        <v>1033</v>
      </c>
      <c r="E341" s="1" t="s">
        <v>12</v>
      </c>
      <c r="F341" s="1" t="s">
        <v>25</v>
      </c>
      <c r="G341" s="1" t="str">
        <f aca="false">TEXT(A341,"YYYY-MM-DD")</f>
        <v>2024-07-26</v>
      </c>
      <c r="H341" s="1" t="str">
        <f aca="false">TEXT(A341,"HH:MM")</f>
        <v>19:33</v>
      </c>
      <c r="I341" s="0" t="str">
        <f aca="false">IFERROR(VLOOKUP(C341,threat_intelligence!A:B,2,0),"CLEAN")</f>
        <v>CLEAN</v>
      </c>
    </row>
    <row r="342" customFormat="false" ht="12.8" hidden="false" customHeight="false" outlineLevel="0" collapsed="false">
      <c r="A342" s="3" t="n">
        <v>45500.1361111111</v>
      </c>
      <c r="B342" s="1" t="s">
        <v>1034</v>
      </c>
      <c r="C342" s="1" t="s">
        <v>1035</v>
      </c>
      <c r="D342" s="4" t="s">
        <v>1036</v>
      </c>
      <c r="E342" s="1" t="s">
        <v>12</v>
      </c>
      <c r="F342" s="1" t="s">
        <v>25</v>
      </c>
      <c r="G342" s="1" t="str">
        <f aca="false">TEXT(A342,"YYYY-MM-DD")</f>
        <v>2024-07-27</v>
      </c>
      <c r="H342" s="1" t="str">
        <f aca="false">TEXT(A342,"HH:MM")</f>
        <v>03:16</v>
      </c>
      <c r="I342" s="0" t="str">
        <f aca="false">IFERROR(VLOOKUP(C342,threat_intelligence!A:B,2,0),"CLEAN")</f>
        <v>CLEAN</v>
      </c>
    </row>
    <row r="343" customFormat="false" ht="12.8" hidden="false" customHeight="false" outlineLevel="0" collapsed="false">
      <c r="A343" s="3" t="n">
        <v>45499.4375</v>
      </c>
      <c r="B343" s="1" t="s">
        <v>1037</v>
      </c>
      <c r="C343" s="1" t="s">
        <v>1038</v>
      </c>
      <c r="D343" s="4" t="s">
        <v>1039</v>
      </c>
      <c r="E343" s="1" t="s">
        <v>21</v>
      </c>
      <c r="F343" s="1" t="s">
        <v>13</v>
      </c>
      <c r="G343" s="1" t="str">
        <f aca="false">TEXT(A343,"YYYY-MM-DD")</f>
        <v>2024-07-26</v>
      </c>
      <c r="H343" s="1" t="str">
        <f aca="false">TEXT(A343,"HH:MM")</f>
        <v>10:30</v>
      </c>
      <c r="I343" s="0" t="str">
        <f aca="false">IFERROR(VLOOKUP(C343,threat_intelligence!A:B,2,0),"CLEAN")</f>
        <v>CLEAN</v>
      </c>
    </row>
    <row r="344" customFormat="false" ht="12.8" hidden="false" customHeight="false" outlineLevel="0" collapsed="false">
      <c r="A344" s="3" t="n">
        <v>45499.8326388889</v>
      </c>
      <c r="B344" s="1" t="s">
        <v>1040</v>
      </c>
      <c r="C344" s="1" t="s">
        <v>1041</v>
      </c>
      <c r="D344" s="4" t="s">
        <v>1042</v>
      </c>
      <c r="E344" s="1" t="s">
        <v>17</v>
      </c>
      <c r="F344" s="1" t="s">
        <v>25</v>
      </c>
      <c r="G344" s="1" t="str">
        <f aca="false">TEXT(A344,"YYYY-MM-DD")</f>
        <v>2024-07-26</v>
      </c>
      <c r="H344" s="1" t="str">
        <f aca="false">TEXT(A344,"HH:MM")</f>
        <v>19:59</v>
      </c>
      <c r="I344" s="0" t="str">
        <f aca="false">IFERROR(VLOOKUP(C344,threat_intelligence!A:B,2,0),"CLEAN")</f>
        <v>CLEAN</v>
      </c>
    </row>
    <row r="345" customFormat="false" ht="12.8" hidden="false" customHeight="false" outlineLevel="0" collapsed="false">
      <c r="A345" s="3" t="n">
        <v>45499.3333333333</v>
      </c>
      <c r="B345" s="1" t="s">
        <v>1043</v>
      </c>
      <c r="C345" s="1" t="s">
        <v>1044</v>
      </c>
      <c r="D345" s="4" t="s">
        <v>1045</v>
      </c>
      <c r="E345" s="1" t="s">
        <v>21</v>
      </c>
      <c r="F345" s="1" t="s">
        <v>25</v>
      </c>
      <c r="G345" s="1" t="str">
        <f aca="false">TEXT(A345,"YYYY-MM-DD")</f>
        <v>2024-07-26</v>
      </c>
      <c r="H345" s="1" t="str">
        <f aca="false">TEXT(A345,"HH:MM")</f>
        <v>08:00</v>
      </c>
      <c r="I345" s="0" t="str">
        <f aca="false">IFERROR(VLOOKUP(C345,threat_intelligence!A:B,2,0),"CLEAN")</f>
        <v>CLEAN</v>
      </c>
    </row>
    <row r="346" customFormat="false" ht="12.8" hidden="false" customHeight="false" outlineLevel="0" collapsed="false">
      <c r="A346" s="3" t="n">
        <v>45500.0180555556</v>
      </c>
      <c r="B346" s="1" t="s">
        <v>1046</v>
      </c>
      <c r="C346" s="1" t="s">
        <v>1047</v>
      </c>
      <c r="D346" s="4" t="s">
        <v>1048</v>
      </c>
      <c r="E346" s="1" t="s">
        <v>12</v>
      </c>
      <c r="F346" s="1" t="s">
        <v>25</v>
      </c>
      <c r="G346" s="1" t="str">
        <f aca="false">TEXT(A346,"YYYY-MM-DD")</f>
        <v>2024-07-27</v>
      </c>
      <c r="H346" s="1" t="str">
        <f aca="false">TEXT(A346,"HH:MM")</f>
        <v>00:26</v>
      </c>
      <c r="I346" s="0" t="str">
        <f aca="false">IFERROR(VLOOKUP(C346,threat_intelligence!A:B,2,0),"CLEAN")</f>
        <v>CLEAN</v>
      </c>
    </row>
    <row r="347" customFormat="false" ht="12.8" hidden="false" customHeight="false" outlineLevel="0" collapsed="false">
      <c r="A347" s="3" t="n">
        <v>45499.9965277778</v>
      </c>
      <c r="B347" s="1" t="s">
        <v>1049</v>
      </c>
      <c r="C347" s="1" t="s">
        <v>1050</v>
      </c>
      <c r="D347" s="4" t="s">
        <v>1051</v>
      </c>
      <c r="E347" s="1" t="s">
        <v>12</v>
      </c>
      <c r="F347" s="1" t="s">
        <v>25</v>
      </c>
      <c r="G347" s="1" t="str">
        <f aca="false">TEXT(A347,"YYYY-MM-DD")</f>
        <v>2024-07-26</v>
      </c>
      <c r="H347" s="1" t="str">
        <f aca="false">TEXT(A347,"HH:MM")</f>
        <v>23:55</v>
      </c>
      <c r="I347" s="0" t="str">
        <f aca="false">IFERROR(VLOOKUP(C347,threat_intelligence!A:B,2,0),"CLEAN")</f>
        <v>CLEAN</v>
      </c>
    </row>
    <row r="348" customFormat="false" ht="12.8" hidden="false" customHeight="false" outlineLevel="0" collapsed="false">
      <c r="A348" s="3" t="n">
        <v>45500.0506944444</v>
      </c>
      <c r="B348" s="1" t="s">
        <v>1052</v>
      </c>
      <c r="C348" s="1" t="s">
        <v>1053</v>
      </c>
      <c r="D348" s="4" t="s">
        <v>1054</v>
      </c>
      <c r="E348" s="1" t="s">
        <v>21</v>
      </c>
      <c r="F348" s="1" t="s">
        <v>25</v>
      </c>
      <c r="G348" s="1" t="str">
        <f aca="false">TEXT(A348,"YYYY-MM-DD")</f>
        <v>2024-07-27</v>
      </c>
      <c r="H348" s="1" t="str">
        <f aca="false">TEXT(A348,"HH:MM")</f>
        <v>01:13</v>
      </c>
      <c r="I348" s="0" t="str">
        <f aca="false">IFERROR(VLOOKUP(C348,threat_intelligence!A:B,2,0),"CLEAN")</f>
        <v>CLEAN</v>
      </c>
    </row>
    <row r="349" customFormat="false" ht="12.8" hidden="false" customHeight="false" outlineLevel="0" collapsed="false">
      <c r="A349" s="3" t="n">
        <v>45499.4958333333</v>
      </c>
      <c r="B349" s="1" t="s">
        <v>1055</v>
      </c>
      <c r="C349" s="1" t="s">
        <v>1056</v>
      </c>
      <c r="D349" s="4" t="s">
        <v>1057</v>
      </c>
      <c r="E349" s="1" t="s">
        <v>21</v>
      </c>
      <c r="F349" s="1" t="s">
        <v>13</v>
      </c>
      <c r="G349" s="1" t="str">
        <f aca="false">TEXT(A349,"YYYY-MM-DD")</f>
        <v>2024-07-26</v>
      </c>
      <c r="H349" s="1" t="str">
        <f aca="false">TEXT(A349,"HH:MM")</f>
        <v>11:54</v>
      </c>
      <c r="I349" s="0" t="str">
        <f aca="false">IFERROR(VLOOKUP(C349,threat_intelligence!A:B,2,0),"CLEAN")</f>
        <v>CLEAN</v>
      </c>
    </row>
    <row r="350" customFormat="false" ht="12.8" hidden="false" customHeight="false" outlineLevel="0" collapsed="false">
      <c r="A350" s="3" t="n">
        <v>45500.2298611111</v>
      </c>
      <c r="B350" s="1" t="s">
        <v>1058</v>
      </c>
      <c r="C350" s="1" t="s">
        <v>1059</v>
      </c>
      <c r="D350" s="4" t="s">
        <v>1060</v>
      </c>
      <c r="E350" s="1" t="s">
        <v>21</v>
      </c>
      <c r="F350" s="1" t="s">
        <v>25</v>
      </c>
      <c r="G350" s="1" t="str">
        <f aca="false">TEXT(A350,"YYYY-MM-DD")</f>
        <v>2024-07-27</v>
      </c>
      <c r="H350" s="1" t="str">
        <f aca="false">TEXT(A350,"HH:MM")</f>
        <v>05:31</v>
      </c>
      <c r="I350" s="0" t="str">
        <f aca="false">IFERROR(VLOOKUP(C350,threat_intelligence!A:B,2,0),"CLEAN")</f>
        <v>CLEAN</v>
      </c>
    </row>
    <row r="351" customFormat="false" ht="12.8" hidden="false" customHeight="false" outlineLevel="0" collapsed="false">
      <c r="A351" s="3" t="n">
        <v>45499.4541666667</v>
      </c>
      <c r="B351" s="1" t="s">
        <v>1061</v>
      </c>
      <c r="C351" s="1" t="s">
        <v>1062</v>
      </c>
      <c r="D351" s="4" t="s">
        <v>1063</v>
      </c>
      <c r="E351" s="1" t="s">
        <v>12</v>
      </c>
      <c r="F351" s="1" t="s">
        <v>13</v>
      </c>
      <c r="G351" s="1" t="str">
        <f aca="false">TEXT(A351,"YYYY-MM-DD")</f>
        <v>2024-07-26</v>
      </c>
      <c r="H351" s="1" t="str">
        <f aca="false">TEXT(A351,"HH:MM")</f>
        <v>10:54</v>
      </c>
      <c r="I351" s="0" t="str">
        <f aca="false">IFERROR(VLOOKUP(C351,threat_intelligence!A:B,2,0),"CLEAN")</f>
        <v>CLEAN</v>
      </c>
    </row>
    <row r="352" customFormat="false" ht="12.8" hidden="false" customHeight="false" outlineLevel="0" collapsed="false">
      <c r="A352" s="3" t="n">
        <v>45499.4819444444</v>
      </c>
      <c r="B352" s="1" t="s">
        <v>1064</v>
      </c>
      <c r="C352" s="1" t="s">
        <v>1065</v>
      </c>
      <c r="D352" s="4" t="s">
        <v>631</v>
      </c>
      <c r="E352" s="1" t="s">
        <v>12</v>
      </c>
      <c r="F352" s="1" t="s">
        <v>13</v>
      </c>
      <c r="G352" s="1" t="str">
        <f aca="false">TEXT(A352,"YYYY-MM-DD")</f>
        <v>2024-07-26</v>
      </c>
      <c r="H352" s="1" t="str">
        <f aca="false">TEXT(A352,"HH:MM")</f>
        <v>11:34</v>
      </c>
      <c r="I352" s="0" t="str">
        <f aca="false">IFERROR(VLOOKUP(C352,threat_intelligence!A:B,2,0),"CLEAN")</f>
        <v>CLEAN</v>
      </c>
    </row>
    <row r="353" customFormat="false" ht="12.8" hidden="false" customHeight="false" outlineLevel="0" collapsed="false">
      <c r="A353" s="3" t="n">
        <v>45499.6805555556</v>
      </c>
      <c r="B353" s="1" t="s">
        <v>1066</v>
      </c>
      <c r="C353" s="1" t="s">
        <v>1067</v>
      </c>
      <c r="D353" s="4" t="s">
        <v>1068</v>
      </c>
      <c r="E353" s="1" t="s">
        <v>12</v>
      </c>
      <c r="F353" s="1" t="s">
        <v>25</v>
      </c>
      <c r="G353" s="1" t="str">
        <f aca="false">TEXT(A353,"YYYY-MM-DD")</f>
        <v>2024-07-26</v>
      </c>
      <c r="H353" s="1" t="str">
        <f aca="false">TEXT(A353,"HH:MM")</f>
        <v>16:20</v>
      </c>
      <c r="I353" s="0" t="str">
        <f aca="false">IFERROR(VLOOKUP(C353,threat_intelligence!A:B,2,0),"CLEAN")</f>
        <v>CLEAN</v>
      </c>
    </row>
    <row r="354" customFormat="false" ht="12.8" hidden="false" customHeight="false" outlineLevel="0" collapsed="false">
      <c r="A354" s="3" t="n">
        <v>45499.7944444444</v>
      </c>
      <c r="B354" s="1" t="s">
        <v>1069</v>
      </c>
      <c r="C354" s="1" t="s">
        <v>1070</v>
      </c>
      <c r="D354" s="4" t="s">
        <v>1071</v>
      </c>
      <c r="E354" s="1" t="s">
        <v>12</v>
      </c>
      <c r="F354" s="1" t="s">
        <v>13</v>
      </c>
      <c r="G354" s="1" t="str">
        <f aca="false">TEXT(A354,"YYYY-MM-DD")</f>
        <v>2024-07-26</v>
      </c>
      <c r="H354" s="1" t="str">
        <f aca="false">TEXT(A354,"HH:MM")</f>
        <v>19:04</v>
      </c>
      <c r="I354" s="0" t="str">
        <f aca="false">IFERROR(VLOOKUP(C354,threat_intelligence!A:B,2,0),"CLEAN")</f>
        <v>CLEAN</v>
      </c>
    </row>
    <row r="355" customFormat="false" ht="12.8" hidden="false" customHeight="false" outlineLevel="0" collapsed="false">
      <c r="A355" s="3" t="n">
        <v>45499.6569444445</v>
      </c>
      <c r="B355" s="1" t="s">
        <v>1072</v>
      </c>
      <c r="C355" s="1" t="s">
        <v>1073</v>
      </c>
      <c r="D355" s="4" t="s">
        <v>1074</v>
      </c>
      <c r="E355" s="1" t="s">
        <v>12</v>
      </c>
      <c r="F355" s="1" t="s">
        <v>13</v>
      </c>
      <c r="G355" s="1" t="str">
        <f aca="false">TEXT(A355,"YYYY-MM-DD")</f>
        <v>2024-07-26</v>
      </c>
      <c r="H355" s="1" t="str">
        <f aca="false">TEXT(A355,"HH:MM")</f>
        <v>15:46</v>
      </c>
      <c r="I355" s="0" t="str">
        <f aca="false">IFERROR(VLOOKUP(C355,threat_intelligence!A:B,2,0),"CLEAN")</f>
        <v>CLEAN</v>
      </c>
    </row>
    <row r="356" customFormat="false" ht="12.8" hidden="false" customHeight="false" outlineLevel="0" collapsed="false">
      <c r="A356" s="3" t="n">
        <v>45499.7166666667</v>
      </c>
      <c r="B356" s="1" t="s">
        <v>1075</v>
      </c>
      <c r="C356" s="1" t="s">
        <v>1076</v>
      </c>
      <c r="D356" s="4" t="s">
        <v>1077</v>
      </c>
      <c r="E356" s="1" t="s">
        <v>12</v>
      </c>
      <c r="F356" s="1" t="s">
        <v>13</v>
      </c>
      <c r="G356" s="1" t="str">
        <f aca="false">TEXT(A356,"YYYY-MM-DD")</f>
        <v>2024-07-26</v>
      </c>
      <c r="H356" s="1" t="str">
        <f aca="false">TEXT(A356,"HH:MM")</f>
        <v>17:12</v>
      </c>
      <c r="I356" s="0" t="str">
        <f aca="false">IFERROR(VLOOKUP(C356,threat_intelligence!A:B,2,0),"CLEAN")</f>
        <v>CLEAN</v>
      </c>
    </row>
    <row r="357" customFormat="false" ht="12.8" hidden="false" customHeight="false" outlineLevel="0" collapsed="false">
      <c r="A357" s="3" t="n">
        <v>45499.6763888889</v>
      </c>
      <c r="B357" s="1" t="s">
        <v>1078</v>
      </c>
      <c r="C357" s="1" t="s">
        <v>1079</v>
      </c>
      <c r="D357" s="4" t="s">
        <v>1080</v>
      </c>
      <c r="E357" s="1" t="s">
        <v>21</v>
      </c>
      <c r="F357" s="1" t="s">
        <v>13</v>
      </c>
      <c r="G357" s="1" t="str">
        <f aca="false">TEXT(A357,"YYYY-MM-DD")</f>
        <v>2024-07-26</v>
      </c>
      <c r="H357" s="1" t="str">
        <f aca="false">TEXT(A357,"HH:MM")</f>
        <v>16:14</v>
      </c>
      <c r="I357" s="0" t="str">
        <f aca="false">IFERROR(VLOOKUP(C357,threat_intelligence!A:B,2,0),"CLEAN")</f>
        <v>CLEAN</v>
      </c>
    </row>
    <row r="358" customFormat="false" ht="12.8" hidden="false" customHeight="false" outlineLevel="0" collapsed="false">
      <c r="A358" s="3" t="n">
        <v>45499.43125</v>
      </c>
      <c r="B358" s="1" t="s">
        <v>1081</v>
      </c>
      <c r="C358" s="1" t="s">
        <v>1082</v>
      </c>
      <c r="D358" s="4" t="s">
        <v>1083</v>
      </c>
      <c r="E358" s="1" t="s">
        <v>21</v>
      </c>
      <c r="F358" s="1" t="s">
        <v>13</v>
      </c>
      <c r="G358" s="1" t="str">
        <f aca="false">TEXT(A358,"YYYY-MM-DD")</f>
        <v>2024-07-26</v>
      </c>
      <c r="H358" s="1" t="str">
        <f aca="false">TEXT(A358,"HH:MM")</f>
        <v>10:21</v>
      </c>
      <c r="I358" s="0" t="str">
        <f aca="false">IFERROR(VLOOKUP(C358,threat_intelligence!A:B,2,0),"CLEAN")</f>
        <v>CLEAN</v>
      </c>
    </row>
    <row r="359" customFormat="false" ht="12.8" hidden="false" customHeight="false" outlineLevel="0" collapsed="false">
      <c r="A359" s="3" t="n">
        <v>45499.5645833333</v>
      </c>
      <c r="B359" s="1" t="s">
        <v>1084</v>
      </c>
      <c r="C359" s="1" t="s">
        <v>1085</v>
      </c>
      <c r="D359" s="4" t="s">
        <v>1086</v>
      </c>
      <c r="E359" s="1" t="s">
        <v>12</v>
      </c>
      <c r="F359" s="1" t="s">
        <v>25</v>
      </c>
      <c r="G359" s="1" t="str">
        <f aca="false">TEXT(A359,"YYYY-MM-DD")</f>
        <v>2024-07-26</v>
      </c>
      <c r="H359" s="1" t="str">
        <f aca="false">TEXT(A359,"HH:MM")</f>
        <v>13:33</v>
      </c>
      <c r="I359" s="0" t="str">
        <f aca="false">IFERROR(VLOOKUP(C359,threat_intelligence!A:B,2,0),"CLEAN")</f>
        <v>CLEAN</v>
      </c>
    </row>
    <row r="360" customFormat="false" ht="12.8" hidden="false" customHeight="false" outlineLevel="0" collapsed="false">
      <c r="A360" s="3" t="n">
        <v>45500.2916666667</v>
      </c>
      <c r="B360" s="1" t="s">
        <v>1087</v>
      </c>
      <c r="C360" s="1" t="s">
        <v>1088</v>
      </c>
      <c r="D360" s="4" t="s">
        <v>1089</v>
      </c>
      <c r="E360" s="1" t="s">
        <v>17</v>
      </c>
      <c r="F360" s="1" t="s">
        <v>13</v>
      </c>
      <c r="G360" s="1" t="str">
        <f aca="false">TEXT(A360,"YYYY-MM-DD")</f>
        <v>2024-07-27</v>
      </c>
      <c r="H360" s="1" t="str">
        <f aca="false">TEXT(A360,"HH:MM")</f>
        <v>07:00</v>
      </c>
      <c r="I360" s="0" t="str">
        <f aca="false">IFERROR(VLOOKUP(C360,threat_intelligence!A:B,2,0),"CLEAN")</f>
        <v>CLEAN</v>
      </c>
    </row>
    <row r="361" customFormat="false" ht="12.8" hidden="false" customHeight="false" outlineLevel="0" collapsed="false">
      <c r="A361" s="3" t="n">
        <v>45500.1027777778</v>
      </c>
      <c r="B361" s="1" t="s">
        <v>1090</v>
      </c>
      <c r="C361" s="1" t="s">
        <v>1091</v>
      </c>
      <c r="D361" s="4" t="s">
        <v>1092</v>
      </c>
      <c r="E361" s="1" t="s">
        <v>21</v>
      </c>
      <c r="F361" s="1" t="s">
        <v>25</v>
      </c>
      <c r="G361" s="1" t="str">
        <f aca="false">TEXT(A361,"YYYY-MM-DD")</f>
        <v>2024-07-27</v>
      </c>
      <c r="H361" s="1" t="str">
        <f aca="false">TEXT(A361,"HH:MM")</f>
        <v>02:28</v>
      </c>
      <c r="I361" s="0" t="str">
        <f aca="false">IFERROR(VLOOKUP(C361,threat_intelligence!A:B,2,0),"CLEAN")</f>
        <v>CLEAN</v>
      </c>
    </row>
    <row r="362" customFormat="false" ht="12.8" hidden="false" customHeight="false" outlineLevel="0" collapsed="false">
      <c r="A362" s="3" t="n">
        <v>45499.6395833333</v>
      </c>
      <c r="B362" s="1" t="s">
        <v>1093</v>
      </c>
      <c r="C362" s="1" t="s">
        <v>1094</v>
      </c>
      <c r="D362" s="4" t="s">
        <v>1095</v>
      </c>
      <c r="E362" s="1" t="s">
        <v>17</v>
      </c>
      <c r="F362" s="1" t="s">
        <v>13</v>
      </c>
      <c r="G362" s="1" t="str">
        <f aca="false">TEXT(A362,"YYYY-MM-DD")</f>
        <v>2024-07-26</v>
      </c>
      <c r="H362" s="1" t="str">
        <f aca="false">TEXT(A362,"HH:MM")</f>
        <v>15:21</v>
      </c>
      <c r="I362" s="0" t="str">
        <f aca="false">IFERROR(VLOOKUP(C362,threat_intelligence!A:B,2,0),"CLEAN")</f>
        <v>CLEAN</v>
      </c>
    </row>
    <row r="363" customFormat="false" ht="12.8" hidden="false" customHeight="false" outlineLevel="0" collapsed="false">
      <c r="A363" s="3" t="n">
        <v>45499.6236111111</v>
      </c>
      <c r="B363" s="1" t="s">
        <v>1096</v>
      </c>
      <c r="C363" s="1" t="s">
        <v>1097</v>
      </c>
      <c r="D363" s="4" t="s">
        <v>1098</v>
      </c>
      <c r="E363" s="1" t="s">
        <v>17</v>
      </c>
      <c r="F363" s="1" t="s">
        <v>13</v>
      </c>
      <c r="G363" s="1" t="str">
        <f aca="false">TEXT(A363,"YYYY-MM-DD")</f>
        <v>2024-07-26</v>
      </c>
      <c r="H363" s="1" t="str">
        <f aca="false">TEXT(A363,"HH:MM")</f>
        <v>14:58</v>
      </c>
      <c r="I363" s="0" t="str">
        <f aca="false">IFERROR(VLOOKUP(C363,threat_intelligence!A:B,2,0),"CLEAN")</f>
        <v>CLEAN</v>
      </c>
    </row>
    <row r="364" customFormat="false" ht="12.8" hidden="false" customHeight="false" outlineLevel="0" collapsed="false">
      <c r="A364" s="3" t="n">
        <v>45499.8097222222</v>
      </c>
      <c r="B364" s="1" t="s">
        <v>1099</v>
      </c>
      <c r="C364" s="1" t="s">
        <v>1100</v>
      </c>
      <c r="D364" s="4" t="s">
        <v>1101</v>
      </c>
      <c r="E364" s="1" t="s">
        <v>21</v>
      </c>
      <c r="F364" s="1" t="s">
        <v>25</v>
      </c>
      <c r="G364" s="1" t="str">
        <f aca="false">TEXT(A364,"YYYY-MM-DD")</f>
        <v>2024-07-26</v>
      </c>
      <c r="H364" s="1" t="str">
        <f aca="false">TEXT(A364,"HH:MM")</f>
        <v>19:26</v>
      </c>
      <c r="I364" s="0" t="str">
        <f aca="false">IFERROR(VLOOKUP(C364,threat_intelligence!A:B,2,0),"CLEAN")</f>
        <v>CLEAN</v>
      </c>
    </row>
    <row r="365" customFormat="false" ht="12.8" hidden="false" customHeight="false" outlineLevel="0" collapsed="false">
      <c r="A365" s="3" t="n">
        <v>45500.0861111111</v>
      </c>
      <c r="B365" s="1" t="s">
        <v>1102</v>
      </c>
      <c r="C365" s="1" t="s">
        <v>1103</v>
      </c>
      <c r="D365" s="4" t="s">
        <v>1104</v>
      </c>
      <c r="E365" s="1" t="s">
        <v>12</v>
      </c>
      <c r="F365" s="1" t="s">
        <v>25</v>
      </c>
      <c r="G365" s="1" t="str">
        <f aca="false">TEXT(A365,"YYYY-MM-DD")</f>
        <v>2024-07-27</v>
      </c>
      <c r="H365" s="1" t="str">
        <f aca="false">TEXT(A365,"HH:MM")</f>
        <v>02:04</v>
      </c>
      <c r="I365" s="0" t="str">
        <f aca="false">IFERROR(VLOOKUP(C365,threat_intelligence!A:B,2,0),"CLEAN")</f>
        <v>CLEAN</v>
      </c>
    </row>
    <row r="366" customFormat="false" ht="12.8" hidden="false" customHeight="false" outlineLevel="0" collapsed="false">
      <c r="A366" s="3" t="n">
        <v>45499.8868055556</v>
      </c>
      <c r="B366" s="1" t="s">
        <v>1105</v>
      </c>
      <c r="C366" s="1" t="s">
        <v>1106</v>
      </c>
      <c r="D366" s="4" t="s">
        <v>1107</v>
      </c>
      <c r="E366" s="1" t="s">
        <v>12</v>
      </c>
      <c r="F366" s="1" t="s">
        <v>25</v>
      </c>
      <c r="G366" s="1" t="str">
        <f aca="false">TEXT(A366,"YYYY-MM-DD")</f>
        <v>2024-07-26</v>
      </c>
      <c r="H366" s="1" t="str">
        <f aca="false">TEXT(A366,"HH:MM")</f>
        <v>21:17</v>
      </c>
      <c r="I366" s="0" t="str">
        <f aca="false">IFERROR(VLOOKUP(C366,threat_intelligence!A:B,2,0),"CLEAN")</f>
        <v>CLEAN</v>
      </c>
    </row>
    <row r="367" customFormat="false" ht="12.8" hidden="false" customHeight="false" outlineLevel="0" collapsed="false">
      <c r="A367" s="3" t="n">
        <v>45499.9513888889</v>
      </c>
      <c r="B367" s="1" t="s">
        <v>1108</v>
      </c>
      <c r="C367" s="1" t="s">
        <v>1109</v>
      </c>
      <c r="D367" s="4" t="s">
        <v>1110</v>
      </c>
      <c r="E367" s="1" t="s">
        <v>21</v>
      </c>
      <c r="F367" s="1" t="s">
        <v>13</v>
      </c>
      <c r="G367" s="1" t="str">
        <f aca="false">TEXT(A367,"YYYY-MM-DD")</f>
        <v>2024-07-26</v>
      </c>
      <c r="H367" s="1" t="str">
        <f aca="false">TEXT(A367,"HH:MM")</f>
        <v>22:50</v>
      </c>
      <c r="I367" s="0" t="str">
        <f aca="false">IFERROR(VLOOKUP(C367,threat_intelligence!A:B,2,0),"CLEAN")</f>
        <v>CLEAN</v>
      </c>
    </row>
    <row r="368" customFormat="false" ht="12.8" hidden="false" customHeight="false" outlineLevel="0" collapsed="false">
      <c r="A368" s="3" t="n">
        <v>45500.0243055556</v>
      </c>
      <c r="B368" s="1" t="s">
        <v>1111</v>
      </c>
      <c r="C368" s="1" t="s">
        <v>1112</v>
      </c>
      <c r="D368" s="4" t="s">
        <v>1113</v>
      </c>
      <c r="E368" s="1" t="s">
        <v>21</v>
      </c>
      <c r="F368" s="1" t="s">
        <v>25</v>
      </c>
      <c r="G368" s="1" t="str">
        <f aca="false">TEXT(A368,"YYYY-MM-DD")</f>
        <v>2024-07-27</v>
      </c>
      <c r="H368" s="1" t="str">
        <f aca="false">TEXT(A368,"HH:MM")</f>
        <v>00:35</v>
      </c>
      <c r="I368" s="0" t="str">
        <f aca="false">IFERROR(VLOOKUP(C368,threat_intelligence!A:B,2,0),"CLEAN")</f>
        <v>CLEAN</v>
      </c>
    </row>
    <row r="369" customFormat="false" ht="12.8" hidden="false" customHeight="false" outlineLevel="0" collapsed="false">
      <c r="A369" s="3" t="n">
        <v>45499.5444444444</v>
      </c>
      <c r="B369" s="1" t="s">
        <v>1114</v>
      </c>
      <c r="C369" s="1" t="s">
        <v>1115</v>
      </c>
      <c r="D369" s="4" t="s">
        <v>1116</v>
      </c>
      <c r="E369" s="1" t="s">
        <v>21</v>
      </c>
      <c r="F369" s="1" t="s">
        <v>25</v>
      </c>
      <c r="G369" s="1" t="str">
        <f aca="false">TEXT(A369,"YYYY-MM-DD")</f>
        <v>2024-07-26</v>
      </c>
      <c r="H369" s="1" t="str">
        <f aca="false">TEXT(A369,"HH:MM")</f>
        <v>13:04</v>
      </c>
      <c r="I369" s="0" t="str">
        <f aca="false">IFERROR(VLOOKUP(C369,threat_intelligence!A:B,2,0),"CLEAN")</f>
        <v>CLEAN</v>
      </c>
    </row>
    <row r="370" customFormat="false" ht="12.8" hidden="false" customHeight="false" outlineLevel="0" collapsed="false">
      <c r="A370" s="3" t="n">
        <v>45499.5152777778</v>
      </c>
      <c r="B370" s="1" t="s">
        <v>1117</v>
      </c>
      <c r="C370" s="1" t="s">
        <v>1118</v>
      </c>
      <c r="D370" s="4" t="s">
        <v>1119</v>
      </c>
      <c r="E370" s="1" t="s">
        <v>21</v>
      </c>
      <c r="F370" s="1" t="s">
        <v>13</v>
      </c>
      <c r="G370" s="1" t="str">
        <f aca="false">TEXT(A370,"YYYY-MM-DD")</f>
        <v>2024-07-26</v>
      </c>
      <c r="H370" s="1" t="str">
        <f aca="false">TEXT(A370,"HH:MM")</f>
        <v>12:22</v>
      </c>
      <c r="I370" s="0" t="str">
        <f aca="false">IFERROR(VLOOKUP(C370,threat_intelligence!A:B,2,0),"CLEAN")</f>
        <v>CLEAN</v>
      </c>
    </row>
    <row r="371" customFormat="false" ht="12.8" hidden="false" customHeight="false" outlineLevel="0" collapsed="false">
      <c r="A371" s="3" t="n">
        <v>45499.9194444444</v>
      </c>
      <c r="B371" s="1" t="s">
        <v>1120</v>
      </c>
      <c r="C371" s="1" t="s">
        <v>1121</v>
      </c>
      <c r="D371" s="4" t="s">
        <v>1122</v>
      </c>
      <c r="E371" s="1" t="s">
        <v>21</v>
      </c>
      <c r="F371" s="1" t="s">
        <v>25</v>
      </c>
      <c r="G371" s="1" t="str">
        <f aca="false">TEXT(A371,"YYYY-MM-DD")</f>
        <v>2024-07-26</v>
      </c>
      <c r="H371" s="1" t="str">
        <f aca="false">TEXT(A371,"HH:MM")</f>
        <v>22:04</v>
      </c>
      <c r="I371" s="0" t="str">
        <f aca="false">IFERROR(VLOOKUP(C371,threat_intelligence!A:B,2,0),"CLEAN")</f>
        <v>CLEAN</v>
      </c>
    </row>
    <row r="372" customFormat="false" ht="12.8" hidden="false" customHeight="false" outlineLevel="0" collapsed="false">
      <c r="A372" s="3" t="n">
        <v>45500.2798611111</v>
      </c>
      <c r="B372" s="1" t="s">
        <v>1123</v>
      </c>
      <c r="C372" s="1" t="s">
        <v>1124</v>
      </c>
      <c r="D372" s="4" t="s">
        <v>1125</v>
      </c>
      <c r="E372" s="1" t="s">
        <v>21</v>
      </c>
      <c r="F372" s="1" t="s">
        <v>13</v>
      </c>
      <c r="G372" s="1" t="str">
        <f aca="false">TEXT(A372,"YYYY-MM-DD")</f>
        <v>2024-07-27</v>
      </c>
      <c r="H372" s="1" t="str">
        <f aca="false">TEXT(A372,"HH:MM")</f>
        <v>06:43</v>
      </c>
      <c r="I372" s="0" t="str">
        <f aca="false">IFERROR(VLOOKUP(C372,threat_intelligence!A:B,2,0),"CLEAN")</f>
        <v>CLEAN</v>
      </c>
    </row>
    <row r="373" customFormat="false" ht="12.8" hidden="false" customHeight="false" outlineLevel="0" collapsed="false">
      <c r="A373" s="3" t="n">
        <v>45499.9722222222</v>
      </c>
      <c r="B373" s="1" t="s">
        <v>1126</v>
      </c>
      <c r="C373" s="1" t="s">
        <v>1127</v>
      </c>
      <c r="D373" s="4" t="s">
        <v>1128</v>
      </c>
      <c r="E373" s="1" t="s">
        <v>17</v>
      </c>
      <c r="F373" s="1" t="s">
        <v>13</v>
      </c>
      <c r="G373" s="1" t="str">
        <f aca="false">TEXT(A373,"YYYY-MM-DD")</f>
        <v>2024-07-26</v>
      </c>
      <c r="H373" s="1" t="str">
        <f aca="false">TEXT(A373,"HH:MM")</f>
        <v>23:20</v>
      </c>
      <c r="I373" s="0" t="str">
        <f aca="false">IFERROR(VLOOKUP(C373,threat_intelligence!A:B,2,0),"CLEAN")</f>
        <v>CLEAN</v>
      </c>
    </row>
    <row r="374" customFormat="false" ht="12.8" hidden="false" customHeight="false" outlineLevel="0" collapsed="false">
      <c r="A374" s="3" t="n">
        <v>45499.8930555556</v>
      </c>
      <c r="B374" s="1" t="s">
        <v>1129</v>
      </c>
      <c r="C374" s="1" t="s">
        <v>1130</v>
      </c>
      <c r="D374" s="4" t="s">
        <v>1131</v>
      </c>
      <c r="E374" s="1" t="s">
        <v>17</v>
      </c>
      <c r="F374" s="1" t="s">
        <v>13</v>
      </c>
      <c r="G374" s="1" t="str">
        <f aca="false">TEXT(A374,"YYYY-MM-DD")</f>
        <v>2024-07-26</v>
      </c>
      <c r="H374" s="1" t="str">
        <f aca="false">TEXT(A374,"HH:MM")</f>
        <v>21:26</v>
      </c>
      <c r="I374" s="0" t="str">
        <f aca="false">IFERROR(VLOOKUP(C374,threat_intelligence!A:B,2,0),"CLEAN")</f>
        <v>CLEAN</v>
      </c>
    </row>
    <row r="375" customFormat="false" ht="12.8" hidden="false" customHeight="false" outlineLevel="0" collapsed="false">
      <c r="A375" s="3" t="n">
        <v>45500.26875</v>
      </c>
      <c r="B375" s="1" t="s">
        <v>1132</v>
      </c>
      <c r="C375" s="1" t="s">
        <v>1133</v>
      </c>
      <c r="D375" s="4" t="s">
        <v>1134</v>
      </c>
      <c r="E375" s="1" t="s">
        <v>17</v>
      </c>
      <c r="F375" s="1" t="s">
        <v>13</v>
      </c>
      <c r="G375" s="1" t="str">
        <f aca="false">TEXT(A375,"YYYY-MM-DD")</f>
        <v>2024-07-27</v>
      </c>
      <c r="H375" s="1" t="str">
        <f aca="false">TEXT(A375,"HH:MM")</f>
        <v>06:27</v>
      </c>
      <c r="I375" s="0" t="str">
        <f aca="false">IFERROR(VLOOKUP(C375,threat_intelligence!A:B,2,0),"CLEAN")</f>
        <v>CLEAN</v>
      </c>
    </row>
    <row r="376" customFormat="false" ht="12.8" hidden="false" customHeight="false" outlineLevel="0" collapsed="false">
      <c r="A376" s="3" t="n">
        <v>45500.3055555556</v>
      </c>
      <c r="B376" s="1" t="s">
        <v>1135</v>
      </c>
      <c r="C376" s="1" t="s">
        <v>1136</v>
      </c>
      <c r="D376" s="4" t="s">
        <v>1137</v>
      </c>
      <c r="E376" s="1" t="s">
        <v>17</v>
      </c>
      <c r="F376" s="1" t="s">
        <v>13</v>
      </c>
      <c r="G376" s="1" t="str">
        <f aca="false">TEXT(A376,"YYYY-MM-DD")</f>
        <v>2024-07-27</v>
      </c>
      <c r="H376" s="1" t="str">
        <f aca="false">TEXT(A376,"HH:MM")</f>
        <v>07:20</v>
      </c>
      <c r="I376" s="0" t="str">
        <f aca="false">IFERROR(VLOOKUP(C376,threat_intelligence!A:B,2,0),"CLEAN")</f>
        <v>CLEAN</v>
      </c>
    </row>
    <row r="377" customFormat="false" ht="12.8" hidden="false" customHeight="false" outlineLevel="0" collapsed="false">
      <c r="A377" s="3" t="n">
        <v>45500.0069444444</v>
      </c>
      <c r="B377" s="1" t="s">
        <v>1138</v>
      </c>
      <c r="C377" s="1" t="s">
        <v>1139</v>
      </c>
      <c r="D377" s="4" t="s">
        <v>1140</v>
      </c>
      <c r="E377" s="1" t="s">
        <v>12</v>
      </c>
      <c r="F377" s="1" t="s">
        <v>25</v>
      </c>
      <c r="G377" s="1" t="str">
        <f aca="false">TEXT(A377,"YYYY-MM-DD")</f>
        <v>2024-07-27</v>
      </c>
      <c r="H377" s="1" t="str">
        <f aca="false">TEXT(A377,"HH:MM")</f>
        <v>00:10</v>
      </c>
      <c r="I377" s="0" t="str">
        <f aca="false">IFERROR(VLOOKUP(C377,threat_intelligence!A:B,2,0),"CLEAN")</f>
        <v>CLEAN</v>
      </c>
    </row>
    <row r="378" customFormat="false" ht="12.8" hidden="false" customHeight="false" outlineLevel="0" collapsed="false">
      <c r="A378" s="3" t="n">
        <v>45499.8930555556</v>
      </c>
      <c r="B378" s="1" t="s">
        <v>1141</v>
      </c>
      <c r="C378" s="1" t="s">
        <v>1142</v>
      </c>
      <c r="D378" s="4" t="s">
        <v>1143</v>
      </c>
      <c r="E378" s="1" t="s">
        <v>21</v>
      </c>
      <c r="F378" s="1" t="s">
        <v>13</v>
      </c>
      <c r="G378" s="1" t="str">
        <f aca="false">TEXT(A378,"YYYY-MM-DD")</f>
        <v>2024-07-26</v>
      </c>
      <c r="H378" s="1" t="str">
        <f aca="false">TEXT(A378,"HH:MM")</f>
        <v>21:26</v>
      </c>
      <c r="I378" s="0" t="str">
        <f aca="false">IFERROR(VLOOKUP(C378,threat_intelligence!A:B,2,0),"CLEAN")</f>
        <v>CLEAN</v>
      </c>
    </row>
    <row r="379" customFormat="false" ht="12.8" hidden="false" customHeight="false" outlineLevel="0" collapsed="false">
      <c r="A379" s="3" t="n">
        <v>45499.5333333333</v>
      </c>
      <c r="B379" s="1" t="s">
        <v>1144</v>
      </c>
      <c r="C379" s="1" t="s">
        <v>1145</v>
      </c>
      <c r="D379" s="4" t="s">
        <v>1146</v>
      </c>
      <c r="E379" s="1" t="s">
        <v>12</v>
      </c>
      <c r="F379" s="1" t="s">
        <v>13</v>
      </c>
      <c r="G379" s="1" t="str">
        <f aca="false">TEXT(A379,"YYYY-MM-DD")</f>
        <v>2024-07-26</v>
      </c>
      <c r="H379" s="1" t="str">
        <f aca="false">TEXT(A379,"HH:MM")</f>
        <v>12:48</v>
      </c>
      <c r="I379" s="0" t="str">
        <f aca="false">IFERROR(VLOOKUP(C379,threat_intelligence!A:B,2,0),"CLEAN")</f>
        <v>CLEAN</v>
      </c>
    </row>
    <row r="380" customFormat="false" ht="12.8" hidden="false" customHeight="false" outlineLevel="0" collapsed="false">
      <c r="A380" s="3" t="n">
        <v>45499.7965277778</v>
      </c>
      <c r="B380" s="1" t="s">
        <v>1147</v>
      </c>
      <c r="C380" s="1" t="s">
        <v>1148</v>
      </c>
      <c r="D380" s="4" t="s">
        <v>1149</v>
      </c>
      <c r="E380" s="1" t="s">
        <v>17</v>
      </c>
      <c r="F380" s="1" t="s">
        <v>25</v>
      </c>
      <c r="G380" s="1" t="str">
        <f aca="false">TEXT(A380,"YYYY-MM-DD")</f>
        <v>2024-07-26</v>
      </c>
      <c r="H380" s="1" t="str">
        <f aca="false">TEXT(A380,"HH:MM")</f>
        <v>19:07</v>
      </c>
      <c r="I380" s="0" t="str">
        <f aca="false">IFERROR(VLOOKUP(C380,threat_intelligence!A:B,2,0),"CLEAN")</f>
        <v>CLEAN</v>
      </c>
    </row>
    <row r="381" customFormat="false" ht="12.8" hidden="false" customHeight="false" outlineLevel="0" collapsed="false">
      <c r="A381" s="3" t="n">
        <v>45499.5055555556</v>
      </c>
      <c r="B381" s="1" t="s">
        <v>1150</v>
      </c>
      <c r="C381" s="1" t="s">
        <v>1151</v>
      </c>
      <c r="D381" s="4" t="s">
        <v>1152</v>
      </c>
      <c r="E381" s="1" t="s">
        <v>12</v>
      </c>
      <c r="F381" s="1" t="s">
        <v>13</v>
      </c>
      <c r="G381" s="1" t="str">
        <f aca="false">TEXT(A381,"YYYY-MM-DD")</f>
        <v>2024-07-26</v>
      </c>
      <c r="H381" s="1" t="str">
        <f aca="false">TEXT(A381,"HH:MM")</f>
        <v>12:08</v>
      </c>
      <c r="I381" s="0" t="str">
        <f aca="false">IFERROR(VLOOKUP(C381,threat_intelligence!A:B,2,0),"CLEAN")</f>
        <v>CLEAN</v>
      </c>
    </row>
    <row r="382" customFormat="false" ht="12.8" hidden="false" customHeight="false" outlineLevel="0" collapsed="false">
      <c r="A382" s="3" t="n">
        <v>45499.7527777778</v>
      </c>
      <c r="B382" s="1" t="s">
        <v>1153</v>
      </c>
      <c r="C382" s="1" t="s">
        <v>1154</v>
      </c>
      <c r="D382" s="4" t="s">
        <v>1155</v>
      </c>
      <c r="E382" s="1" t="s">
        <v>17</v>
      </c>
      <c r="F382" s="1" t="s">
        <v>13</v>
      </c>
      <c r="G382" s="1" t="str">
        <f aca="false">TEXT(A382,"YYYY-MM-DD")</f>
        <v>2024-07-26</v>
      </c>
      <c r="H382" s="1" t="str">
        <f aca="false">TEXT(A382,"HH:MM")</f>
        <v>18:04</v>
      </c>
      <c r="I382" s="0" t="str">
        <f aca="false">IFERROR(VLOOKUP(C382,threat_intelligence!A:B,2,0),"CLEAN")</f>
        <v>CLEAN</v>
      </c>
    </row>
    <row r="383" customFormat="false" ht="12.8" hidden="false" customHeight="false" outlineLevel="0" collapsed="false">
      <c r="A383" s="3" t="n">
        <v>45499.6965277778</v>
      </c>
      <c r="B383" s="1" t="s">
        <v>1156</v>
      </c>
      <c r="C383" s="1" t="s">
        <v>1157</v>
      </c>
      <c r="D383" s="4" t="s">
        <v>1158</v>
      </c>
      <c r="E383" s="1" t="s">
        <v>21</v>
      </c>
      <c r="F383" s="1" t="s">
        <v>25</v>
      </c>
      <c r="G383" s="1" t="str">
        <f aca="false">TEXT(A383,"YYYY-MM-DD")</f>
        <v>2024-07-26</v>
      </c>
      <c r="H383" s="1" t="str">
        <f aca="false">TEXT(A383,"HH:MM")</f>
        <v>16:43</v>
      </c>
      <c r="I383" s="0" t="str">
        <f aca="false">IFERROR(VLOOKUP(C383,threat_intelligence!A:B,2,0),"CLEAN")</f>
        <v>CLEAN</v>
      </c>
    </row>
    <row r="384" customFormat="false" ht="12.8" hidden="false" customHeight="false" outlineLevel="0" collapsed="false">
      <c r="A384" s="3" t="n">
        <v>45499.5375</v>
      </c>
      <c r="B384" s="1" t="s">
        <v>1159</v>
      </c>
      <c r="C384" s="1" t="s">
        <v>1160</v>
      </c>
      <c r="D384" s="4" t="s">
        <v>1161</v>
      </c>
      <c r="E384" s="1" t="s">
        <v>17</v>
      </c>
      <c r="F384" s="1" t="s">
        <v>25</v>
      </c>
      <c r="G384" s="1" t="str">
        <f aca="false">TEXT(A384,"YYYY-MM-DD")</f>
        <v>2024-07-26</v>
      </c>
      <c r="H384" s="1" t="str">
        <f aca="false">TEXT(A384,"HH:MM")</f>
        <v>12:54</v>
      </c>
      <c r="I384" s="0" t="str">
        <f aca="false">IFERROR(VLOOKUP(C384,threat_intelligence!A:B,2,0),"CLEAN")</f>
        <v>CLEAN</v>
      </c>
    </row>
    <row r="385" customFormat="false" ht="12.8" hidden="false" customHeight="false" outlineLevel="0" collapsed="false">
      <c r="A385" s="3" t="n">
        <v>45499.9361111111</v>
      </c>
      <c r="B385" s="1" t="s">
        <v>1162</v>
      </c>
      <c r="C385" s="1" t="s">
        <v>1163</v>
      </c>
      <c r="D385" s="4" t="s">
        <v>1164</v>
      </c>
      <c r="E385" s="1" t="s">
        <v>21</v>
      </c>
      <c r="F385" s="1" t="s">
        <v>13</v>
      </c>
      <c r="G385" s="1" t="str">
        <f aca="false">TEXT(A385,"YYYY-MM-DD")</f>
        <v>2024-07-26</v>
      </c>
      <c r="H385" s="1" t="str">
        <f aca="false">TEXT(A385,"HH:MM")</f>
        <v>22:28</v>
      </c>
      <c r="I385" s="0" t="str">
        <f aca="false">IFERROR(VLOOKUP(C385,threat_intelligence!A:B,2,0),"CLEAN")</f>
        <v>CLEAN</v>
      </c>
    </row>
    <row r="386" customFormat="false" ht="12.8" hidden="false" customHeight="false" outlineLevel="0" collapsed="false">
      <c r="A386" s="3" t="n">
        <v>45500.0229166667</v>
      </c>
      <c r="B386" s="1" t="s">
        <v>1165</v>
      </c>
      <c r="C386" s="1" t="s">
        <v>1166</v>
      </c>
      <c r="D386" s="4" t="s">
        <v>1167</v>
      </c>
      <c r="E386" s="1" t="s">
        <v>21</v>
      </c>
      <c r="F386" s="1" t="s">
        <v>13</v>
      </c>
      <c r="G386" s="1" t="str">
        <f aca="false">TEXT(A386,"YYYY-MM-DD")</f>
        <v>2024-07-27</v>
      </c>
      <c r="H386" s="1" t="str">
        <f aca="false">TEXT(A386,"HH:MM")</f>
        <v>00:33</v>
      </c>
      <c r="I386" s="0" t="str">
        <f aca="false">IFERROR(VLOOKUP(C386,threat_intelligence!A:B,2,0),"CLEAN")</f>
        <v>CLEAN</v>
      </c>
    </row>
    <row r="387" customFormat="false" ht="12.8" hidden="false" customHeight="false" outlineLevel="0" collapsed="false">
      <c r="A387" s="3" t="n">
        <v>45499.4798611111</v>
      </c>
      <c r="B387" s="1" t="s">
        <v>1168</v>
      </c>
      <c r="C387" s="1" t="s">
        <v>1169</v>
      </c>
      <c r="D387" s="4" t="s">
        <v>1170</v>
      </c>
      <c r="E387" s="1" t="s">
        <v>21</v>
      </c>
      <c r="F387" s="1" t="s">
        <v>13</v>
      </c>
      <c r="G387" s="1" t="str">
        <f aca="false">TEXT(A387,"YYYY-MM-DD")</f>
        <v>2024-07-26</v>
      </c>
      <c r="H387" s="1" t="str">
        <f aca="false">TEXT(A387,"HH:MM")</f>
        <v>11:31</v>
      </c>
      <c r="I387" s="0" t="str">
        <f aca="false">IFERROR(VLOOKUP(C387,threat_intelligence!A:B,2,0),"CLEAN")</f>
        <v>CLEAN</v>
      </c>
    </row>
    <row r="388" customFormat="false" ht="12.8" hidden="false" customHeight="false" outlineLevel="0" collapsed="false">
      <c r="A388" s="3" t="n">
        <v>45499.675</v>
      </c>
      <c r="B388" s="1" t="s">
        <v>1171</v>
      </c>
      <c r="C388" s="1" t="s">
        <v>1172</v>
      </c>
      <c r="D388" s="4" t="s">
        <v>1173</v>
      </c>
      <c r="E388" s="1" t="s">
        <v>12</v>
      </c>
      <c r="F388" s="1" t="s">
        <v>13</v>
      </c>
      <c r="G388" s="1" t="str">
        <f aca="false">TEXT(A388,"YYYY-MM-DD")</f>
        <v>2024-07-26</v>
      </c>
      <c r="H388" s="1" t="str">
        <f aca="false">TEXT(A388,"HH:MM")</f>
        <v>16:12</v>
      </c>
      <c r="I388" s="0" t="str">
        <f aca="false">IFERROR(VLOOKUP(C388,threat_intelligence!A:B,2,0),"CLEAN")</f>
        <v>CLEAN</v>
      </c>
    </row>
    <row r="389" customFormat="false" ht="12.8" hidden="false" customHeight="false" outlineLevel="0" collapsed="false">
      <c r="A389" s="3" t="n">
        <v>45499.7611111111</v>
      </c>
      <c r="B389" s="1" t="s">
        <v>1174</v>
      </c>
      <c r="C389" s="1" t="s">
        <v>1175</v>
      </c>
      <c r="D389" s="4" t="s">
        <v>1176</v>
      </c>
      <c r="E389" s="1" t="s">
        <v>12</v>
      </c>
      <c r="F389" s="1" t="s">
        <v>13</v>
      </c>
      <c r="G389" s="1" t="str">
        <f aca="false">TEXT(A389,"YYYY-MM-DD")</f>
        <v>2024-07-26</v>
      </c>
      <c r="H389" s="1" t="str">
        <f aca="false">TEXT(A389,"HH:MM")</f>
        <v>18:16</v>
      </c>
      <c r="I389" s="0" t="str">
        <f aca="false">IFERROR(VLOOKUP(C389,threat_intelligence!A:B,2,0),"CLEAN")</f>
        <v>CLEAN</v>
      </c>
    </row>
    <row r="390" customFormat="false" ht="12.8" hidden="false" customHeight="false" outlineLevel="0" collapsed="false">
      <c r="A390" s="3" t="n">
        <v>45499.4319444444</v>
      </c>
      <c r="B390" s="1" t="s">
        <v>1177</v>
      </c>
      <c r="C390" s="1" t="s">
        <v>1178</v>
      </c>
      <c r="D390" s="4" t="s">
        <v>1179</v>
      </c>
      <c r="E390" s="1" t="s">
        <v>17</v>
      </c>
      <c r="F390" s="1" t="s">
        <v>25</v>
      </c>
      <c r="G390" s="1" t="str">
        <f aca="false">TEXT(A390,"YYYY-MM-DD")</f>
        <v>2024-07-26</v>
      </c>
      <c r="H390" s="1" t="str">
        <f aca="false">TEXT(A390,"HH:MM")</f>
        <v>10:22</v>
      </c>
      <c r="I390" s="0" t="str">
        <f aca="false">IFERROR(VLOOKUP(C390,threat_intelligence!A:B,2,0),"CLEAN")</f>
        <v>CLEAN</v>
      </c>
    </row>
    <row r="391" customFormat="false" ht="12.8" hidden="false" customHeight="false" outlineLevel="0" collapsed="false">
      <c r="A391" s="3" t="n">
        <v>45499.3861111111</v>
      </c>
      <c r="B391" s="1" t="s">
        <v>1180</v>
      </c>
      <c r="C391" s="1" t="s">
        <v>1181</v>
      </c>
      <c r="D391" s="4" t="s">
        <v>1182</v>
      </c>
      <c r="E391" s="1" t="s">
        <v>12</v>
      </c>
      <c r="F391" s="1" t="s">
        <v>25</v>
      </c>
      <c r="G391" s="1" t="str">
        <f aca="false">TEXT(A391,"YYYY-MM-DD")</f>
        <v>2024-07-26</v>
      </c>
      <c r="H391" s="1" t="str">
        <f aca="false">TEXT(A391,"HH:MM")</f>
        <v>09:16</v>
      </c>
      <c r="I391" s="0" t="str">
        <f aca="false">IFERROR(VLOOKUP(C391,threat_intelligence!A:B,2,0),"CLEAN")</f>
        <v>CLEAN</v>
      </c>
    </row>
    <row r="392" customFormat="false" ht="12.8" hidden="false" customHeight="false" outlineLevel="0" collapsed="false">
      <c r="A392" s="3" t="n">
        <v>45500.24375</v>
      </c>
      <c r="B392" s="1" t="s">
        <v>1183</v>
      </c>
      <c r="C392" s="1" t="s">
        <v>1184</v>
      </c>
      <c r="D392" s="4" t="s">
        <v>1185</v>
      </c>
      <c r="E392" s="1" t="s">
        <v>21</v>
      </c>
      <c r="F392" s="1" t="s">
        <v>13</v>
      </c>
      <c r="G392" s="1" t="str">
        <f aca="false">TEXT(A392,"YYYY-MM-DD")</f>
        <v>2024-07-27</v>
      </c>
      <c r="H392" s="1" t="str">
        <f aca="false">TEXT(A392,"HH:MM")</f>
        <v>05:51</v>
      </c>
      <c r="I392" s="0" t="str">
        <f aca="false">IFERROR(VLOOKUP(C392,threat_intelligence!A:B,2,0),"CLEAN")</f>
        <v>CLEAN</v>
      </c>
    </row>
    <row r="393" customFormat="false" ht="12.8" hidden="false" customHeight="false" outlineLevel="0" collapsed="false">
      <c r="A393" s="3" t="n">
        <v>45499.6333333333</v>
      </c>
      <c r="B393" s="1" t="s">
        <v>1186</v>
      </c>
      <c r="C393" s="1" t="s">
        <v>1187</v>
      </c>
      <c r="D393" s="4" t="s">
        <v>1188</v>
      </c>
      <c r="E393" s="1" t="s">
        <v>17</v>
      </c>
      <c r="F393" s="1" t="s">
        <v>25</v>
      </c>
      <c r="G393" s="1" t="str">
        <f aca="false">TEXT(A393,"YYYY-MM-DD")</f>
        <v>2024-07-26</v>
      </c>
      <c r="H393" s="1" t="str">
        <f aca="false">TEXT(A393,"HH:MM")</f>
        <v>15:12</v>
      </c>
      <c r="I393" s="0" t="str">
        <f aca="false">IFERROR(VLOOKUP(C393,threat_intelligence!A:B,2,0),"CLEAN")</f>
        <v>CLEAN</v>
      </c>
    </row>
    <row r="394" customFormat="false" ht="12.8" hidden="false" customHeight="false" outlineLevel="0" collapsed="false">
      <c r="A394" s="3" t="n">
        <v>45500.0208333333</v>
      </c>
      <c r="B394" s="1" t="s">
        <v>1189</v>
      </c>
      <c r="C394" s="1" t="s">
        <v>1190</v>
      </c>
      <c r="D394" s="4" t="s">
        <v>1191</v>
      </c>
      <c r="E394" s="1" t="s">
        <v>12</v>
      </c>
      <c r="F394" s="1" t="s">
        <v>25</v>
      </c>
      <c r="G394" s="1" t="str">
        <f aca="false">TEXT(A394,"YYYY-MM-DD")</f>
        <v>2024-07-27</v>
      </c>
      <c r="H394" s="1" t="str">
        <f aca="false">TEXT(A394,"HH:MM")</f>
        <v>00:30</v>
      </c>
      <c r="I394" s="0" t="str">
        <f aca="false">IFERROR(VLOOKUP(C394,threat_intelligence!A:B,2,0),"CLEAN")</f>
        <v>CLEAN</v>
      </c>
    </row>
    <row r="395" customFormat="false" ht="12.8" hidden="false" customHeight="false" outlineLevel="0" collapsed="false">
      <c r="A395" s="3" t="n">
        <v>45499.8409722222</v>
      </c>
      <c r="B395" s="1" t="s">
        <v>1192</v>
      </c>
      <c r="C395" s="1" t="s">
        <v>1193</v>
      </c>
      <c r="D395" s="4" t="s">
        <v>1194</v>
      </c>
      <c r="E395" s="1" t="s">
        <v>12</v>
      </c>
      <c r="F395" s="1" t="s">
        <v>25</v>
      </c>
      <c r="G395" s="1" t="str">
        <f aca="false">TEXT(A395,"YYYY-MM-DD")</f>
        <v>2024-07-26</v>
      </c>
      <c r="H395" s="1" t="str">
        <f aca="false">TEXT(A395,"HH:MM")</f>
        <v>20:11</v>
      </c>
      <c r="I395" s="0" t="str">
        <f aca="false">IFERROR(VLOOKUP(C395,threat_intelligence!A:B,2,0),"CLEAN")</f>
        <v>CLEAN</v>
      </c>
    </row>
    <row r="396" customFormat="false" ht="12.8" hidden="false" customHeight="false" outlineLevel="0" collapsed="false">
      <c r="A396" s="3" t="n">
        <v>45500.1361111111</v>
      </c>
      <c r="B396" s="1" t="s">
        <v>1195</v>
      </c>
      <c r="C396" s="1" t="s">
        <v>1196</v>
      </c>
      <c r="D396" s="4" t="s">
        <v>1197</v>
      </c>
      <c r="E396" s="1" t="s">
        <v>21</v>
      </c>
      <c r="F396" s="1" t="s">
        <v>13</v>
      </c>
      <c r="G396" s="1" t="str">
        <f aca="false">TEXT(A396,"YYYY-MM-DD")</f>
        <v>2024-07-27</v>
      </c>
      <c r="H396" s="1" t="str">
        <f aca="false">TEXT(A396,"HH:MM")</f>
        <v>03:16</v>
      </c>
      <c r="I396" s="0" t="str">
        <f aca="false">IFERROR(VLOOKUP(C396,threat_intelligence!A:B,2,0),"CLEAN")</f>
        <v>CLEAN</v>
      </c>
    </row>
    <row r="397" customFormat="false" ht="12.8" hidden="false" customHeight="false" outlineLevel="0" collapsed="false">
      <c r="A397" s="3" t="n">
        <v>45499.9013888889</v>
      </c>
      <c r="B397" s="1" t="s">
        <v>1198</v>
      </c>
      <c r="C397" s="1" t="s">
        <v>1199</v>
      </c>
      <c r="D397" s="4" t="s">
        <v>1200</v>
      </c>
      <c r="E397" s="1" t="s">
        <v>12</v>
      </c>
      <c r="F397" s="1" t="s">
        <v>25</v>
      </c>
      <c r="G397" s="1" t="str">
        <f aca="false">TEXT(A397,"YYYY-MM-DD")</f>
        <v>2024-07-26</v>
      </c>
      <c r="H397" s="1" t="str">
        <f aca="false">TEXT(A397,"HH:MM")</f>
        <v>21:38</v>
      </c>
      <c r="I397" s="0" t="str">
        <f aca="false">IFERROR(VLOOKUP(C397,threat_intelligence!A:B,2,0),"CLEAN")</f>
        <v>CLEAN</v>
      </c>
    </row>
    <row r="398" customFormat="false" ht="12.8" hidden="false" customHeight="false" outlineLevel="0" collapsed="false">
      <c r="A398" s="3" t="n">
        <v>45500.1993055556</v>
      </c>
      <c r="B398" s="1" t="s">
        <v>1201</v>
      </c>
      <c r="C398" s="1" t="s">
        <v>1202</v>
      </c>
      <c r="D398" s="4" t="s">
        <v>1203</v>
      </c>
      <c r="E398" s="1" t="s">
        <v>17</v>
      </c>
      <c r="F398" s="1" t="s">
        <v>13</v>
      </c>
      <c r="G398" s="1" t="str">
        <f aca="false">TEXT(A398,"YYYY-MM-DD")</f>
        <v>2024-07-27</v>
      </c>
      <c r="H398" s="1" t="str">
        <f aca="false">TEXT(A398,"HH:MM")</f>
        <v>04:47</v>
      </c>
      <c r="I398" s="0" t="str">
        <f aca="false">IFERROR(VLOOKUP(C398,threat_intelligence!A:B,2,0),"CLEAN")</f>
        <v>CLEAN</v>
      </c>
    </row>
    <row r="399" customFormat="false" ht="12.8" hidden="false" customHeight="false" outlineLevel="0" collapsed="false">
      <c r="A399" s="3" t="n">
        <v>45500.3</v>
      </c>
      <c r="B399" s="1" t="s">
        <v>1204</v>
      </c>
      <c r="C399" s="1" t="s">
        <v>1205</v>
      </c>
      <c r="D399" s="4" t="s">
        <v>1206</v>
      </c>
      <c r="E399" s="1" t="s">
        <v>17</v>
      </c>
      <c r="F399" s="1" t="s">
        <v>13</v>
      </c>
      <c r="G399" s="1" t="str">
        <f aca="false">TEXT(A399,"YYYY-MM-DD")</f>
        <v>2024-07-27</v>
      </c>
      <c r="H399" s="1" t="str">
        <f aca="false">TEXT(A399,"HH:MM")</f>
        <v>07:12</v>
      </c>
      <c r="I399" s="0" t="str">
        <f aca="false">IFERROR(VLOOKUP(C399,threat_intelligence!A:B,2,0),"CLEAN")</f>
        <v>CLEAN</v>
      </c>
    </row>
    <row r="400" customFormat="false" ht="12.8" hidden="false" customHeight="false" outlineLevel="0" collapsed="false">
      <c r="A400" s="3" t="n">
        <v>45499.9868055556</v>
      </c>
      <c r="B400" s="1" t="s">
        <v>1207</v>
      </c>
      <c r="C400" s="1" t="s">
        <v>1208</v>
      </c>
      <c r="D400" s="4" t="s">
        <v>1209</v>
      </c>
      <c r="E400" s="1" t="s">
        <v>21</v>
      </c>
      <c r="F400" s="1" t="s">
        <v>25</v>
      </c>
      <c r="G400" s="1" t="str">
        <f aca="false">TEXT(A400,"YYYY-MM-DD")</f>
        <v>2024-07-26</v>
      </c>
      <c r="H400" s="1" t="str">
        <f aca="false">TEXT(A400,"HH:MM")</f>
        <v>23:41</v>
      </c>
      <c r="I400" s="0" t="str">
        <f aca="false">IFERROR(VLOOKUP(C400,threat_intelligence!A:B,2,0),"CLEAN")</f>
        <v>CLEAN</v>
      </c>
    </row>
    <row r="401" customFormat="false" ht="12.8" hidden="false" customHeight="false" outlineLevel="0" collapsed="false">
      <c r="A401" s="3" t="n">
        <v>45499.8083333333</v>
      </c>
      <c r="B401" s="1" t="s">
        <v>1210</v>
      </c>
      <c r="C401" s="1" t="s">
        <v>1211</v>
      </c>
      <c r="D401" s="4" t="s">
        <v>1212</v>
      </c>
      <c r="E401" s="1" t="s">
        <v>12</v>
      </c>
      <c r="F401" s="1" t="s">
        <v>13</v>
      </c>
      <c r="G401" s="1" t="str">
        <f aca="false">TEXT(A401,"YYYY-MM-DD")</f>
        <v>2024-07-26</v>
      </c>
      <c r="H401" s="1" t="str">
        <f aca="false">TEXT(A401,"HH:MM")</f>
        <v>19:24</v>
      </c>
      <c r="I401" s="0" t="str">
        <f aca="false">IFERROR(VLOOKUP(C401,threat_intelligence!A:B,2,0),"CLEAN")</f>
        <v>CLEAN</v>
      </c>
    </row>
    <row r="402" customFormat="false" ht="12.8" hidden="false" customHeight="false" outlineLevel="0" collapsed="false">
      <c r="A402" s="3" t="n">
        <v>45499.7618055556</v>
      </c>
      <c r="B402" s="1" t="s">
        <v>1213</v>
      </c>
      <c r="C402" s="1" t="s">
        <v>1214</v>
      </c>
      <c r="D402" s="4" t="s">
        <v>1215</v>
      </c>
      <c r="E402" s="1" t="s">
        <v>12</v>
      </c>
      <c r="F402" s="1" t="s">
        <v>13</v>
      </c>
      <c r="G402" s="1" t="str">
        <f aca="false">TEXT(A402,"YYYY-MM-DD")</f>
        <v>2024-07-26</v>
      </c>
      <c r="H402" s="1" t="str">
        <f aca="false">TEXT(A402,"HH:MM")</f>
        <v>18:17</v>
      </c>
      <c r="I402" s="0" t="str">
        <f aca="false">IFERROR(VLOOKUP(C402,threat_intelligence!A:B,2,0),"CLEAN")</f>
        <v>CLEAN</v>
      </c>
    </row>
    <row r="403" customFormat="false" ht="12.8" hidden="false" customHeight="false" outlineLevel="0" collapsed="false">
      <c r="A403" s="3" t="n">
        <v>45499.4451388889</v>
      </c>
      <c r="B403" s="1" t="s">
        <v>1216</v>
      </c>
      <c r="C403" s="1" t="s">
        <v>1217</v>
      </c>
      <c r="D403" s="4" t="s">
        <v>1218</v>
      </c>
      <c r="E403" s="1" t="s">
        <v>21</v>
      </c>
      <c r="F403" s="1" t="s">
        <v>25</v>
      </c>
      <c r="G403" s="1" t="str">
        <f aca="false">TEXT(A403,"YYYY-MM-DD")</f>
        <v>2024-07-26</v>
      </c>
      <c r="H403" s="1" t="str">
        <f aca="false">TEXT(A403,"HH:MM")</f>
        <v>10:41</v>
      </c>
      <c r="I403" s="0" t="str">
        <f aca="false">IFERROR(VLOOKUP(C403,threat_intelligence!A:B,2,0),"CLEAN")</f>
        <v>CLEAN</v>
      </c>
    </row>
    <row r="404" customFormat="false" ht="12.8" hidden="false" customHeight="false" outlineLevel="0" collapsed="false">
      <c r="A404" s="3" t="n">
        <v>45499.8583333333</v>
      </c>
      <c r="B404" s="1" t="s">
        <v>1219</v>
      </c>
      <c r="C404" s="1" t="s">
        <v>1220</v>
      </c>
      <c r="D404" s="4" t="s">
        <v>1221</v>
      </c>
      <c r="E404" s="1" t="s">
        <v>17</v>
      </c>
      <c r="F404" s="1" t="s">
        <v>13</v>
      </c>
      <c r="G404" s="1" t="str">
        <f aca="false">TEXT(A404,"YYYY-MM-DD")</f>
        <v>2024-07-26</v>
      </c>
      <c r="H404" s="1" t="str">
        <f aca="false">TEXT(A404,"HH:MM")</f>
        <v>20:36</v>
      </c>
      <c r="I404" s="0" t="str">
        <f aca="false">IFERROR(VLOOKUP(C404,threat_intelligence!A:B,2,0),"CLEAN")</f>
        <v>CLEAN</v>
      </c>
    </row>
    <row r="405" customFormat="false" ht="12.8" hidden="false" customHeight="false" outlineLevel="0" collapsed="false">
      <c r="A405" s="3" t="n">
        <v>45499.7173611111</v>
      </c>
      <c r="B405" s="1" t="s">
        <v>1222</v>
      </c>
      <c r="C405" s="1" t="s">
        <v>1223</v>
      </c>
      <c r="D405" s="4" t="s">
        <v>1224</v>
      </c>
      <c r="E405" s="1" t="s">
        <v>17</v>
      </c>
      <c r="F405" s="1" t="s">
        <v>25</v>
      </c>
      <c r="G405" s="1" t="str">
        <f aca="false">TEXT(A405,"YYYY-MM-DD")</f>
        <v>2024-07-26</v>
      </c>
      <c r="H405" s="1" t="str">
        <f aca="false">TEXT(A405,"HH:MM")</f>
        <v>17:13</v>
      </c>
      <c r="I405" s="0" t="str">
        <f aca="false">IFERROR(VLOOKUP(C405,threat_intelligence!A:B,2,0),"CLEAN")</f>
        <v>CLEAN</v>
      </c>
    </row>
    <row r="406" customFormat="false" ht="12.8" hidden="false" customHeight="false" outlineLevel="0" collapsed="false">
      <c r="A406" s="3" t="n">
        <v>45499.9729166667</v>
      </c>
      <c r="B406" s="1" t="s">
        <v>1225</v>
      </c>
      <c r="C406" s="1" t="s">
        <v>1226</v>
      </c>
      <c r="D406" s="4" t="s">
        <v>1227</v>
      </c>
      <c r="E406" s="1" t="s">
        <v>21</v>
      </c>
      <c r="F406" s="1" t="s">
        <v>25</v>
      </c>
      <c r="G406" s="1" t="str">
        <f aca="false">TEXT(A406,"YYYY-MM-DD")</f>
        <v>2024-07-26</v>
      </c>
      <c r="H406" s="1" t="str">
        <f aca="false">TEXT(A406,"HH:MM")</f>
        <v>23:21</v>
      </c>
      <c r="I406" s="0" t="str">
        <f aca="false">IFERROR(VLOOKUP(C406,threat_intelligence!A:B,2,0),"CLEAN")</f>
        <v>CLEAN</v>
      </c>
    </row>
    <row r="407" customFormat="false" ht="12.8" hidden="false" customHeight="false" outlineLevel="0" collapsed="false">
      <c r="A407" s="3" t="n">
        <v>45499.7173611111</v>
      </c>
      <c r="B407" s="1" t="s">
        <v>1228</v>
      </c>
      <c r="C407" s="1" t="s">
        <v>1229</v>
      </c>
      <c r="D407" s="4" t="s">
        <v>1230</v>
      </c>
      <c r="E407" s="1" t="s">
        <v>12</v>
      </c>
      <c r="F407" s="1" t="s">
        <v>25</v>
      </c>
      <c r="G407" s="1" t="str">
        <f aca="false">TEXT(A407,"YYYY-MM-DD")</f>
        <v>2024-07-26</v>
      </c>
      <c r="H407" s="1" t="str">
        <f aca="false">TEXT(A407,"HH:MM")</f>
        <v>17:13</v>
      </c>
      <c r="I407" s="0" t="str">
        <f aca="false">IFERROR(VLOOKUP(C407,threat_intelligence!A:B,2,0),"CLEAN")</f>
        <v>CLEAN</v>
      </c>
    </row>
    <row r="408" customFormat="false" ht="12.8" hidden="false" customHeight="false" outlineLevel="0" collapsed="false">
      <c r="A408" s="3" t="n">
        <v>45500.0527777778</v>
      </c>
      <c r="B408" s="1" t="s">
        <v>1231</v>
      </c>
      <c r="C408" s="1" t="s">
        <v>1232</v>
      </c>
      <c r="D408" s="4" t="s">
        <v>1233</v>
      </c>
      <c r="E408" s="1" t="s">
        <v>17</v>
      </c>
      <c r="F408" s="1" t="s">
        <v>25</v>
      </c>
      <c r="G408" s="1" t="str">
        <f aca="false">TEXT(A408,"YYYY-MM-DD")</f>
        <v>2024-07-27</v>
      </c>
      <c r="H408" s="1" t="str">
        <f aca="false">TEXT(A408,"HH:MM")</f>
        <v>01:16</v>
      </c>
      <c r="I408" s="0" t="str">
        <f aca="false">IFERROR(VLOOKUP(C408,threat_intelligence!A:B,2,0),"CLEAN")</f>
        <v>CLEAN</v>
      </c>
    </row>
    <row r="409" customFormat="false" ht="12.8" hidden="false" customHeight="false" outlineLevel="0" collapsed="false">
      <c r="A409" s="3" t="n">
        <v>45499.7236111111</v>
      </c>
      <c r="B409" s="1" t="s">
        <v>1234</v>
      </c>
      <c r="C409" s="1" t="s">
        <v>1235</v>
      </c>
      <c r="D409" s="4" t="s">
        <v>1236</v>
      </c>
      <c r="E409" s="1" t="s">
        <v>21</v>
      </c>
      <c r="F409" s="1" t="s">
        <v>25</v>
      </c>
      <c r="G409" s="1" t="str">
        <f aca="false">TEXT(A409,"YYYY-MM-DD")</f>
        <v>2024-07-26</v>
      </c>
      <c r="H409" s="1" t="str">
        <f aca="false">TEXT(A409,"HH:MM")</f>
        <v>17:22</v>
      </c>
      <c r="I409" s="0" t="str">
        <f aca="false">IFERROR(VLOOKUP(C409,threat_intelligence!A:B,2,0),"CLEAN")</f>
        <v>CLEAN</v>
      </c>
    </row>
    <row r="410" customFormat="false" ht="12.8" hidden="false" customHeight="false" outlineLevel="0" collapsed="false">
      <c r="A410" s="3" t="n">
        <v>45499.8180555556</v>
      </c>
      <c r="B410" s="1" t="s">
        <v>1237</v>
      </c>
      <c r="C410" s="1" t="s">
        <v>1238</v>
      </c>
      <c r="D410" s="4" t="s">
        <v>1239</v>
      </c>
      <c r="E410" s="1" t="s">
        <v>21</v>
      </c>
      <c r="F410" s="1" t="s">
        <v>13</v>
      </c>
      <c r="G410" s="1" t="str">
        <f aca="false">TEXT(A410,"YYYY-MM-DD")</f>
        <v>2024-07-26</v>
      </c>
      <c r="H410" s="1" t="str">
        <f aca="false">TEXT(A410,"HH:MM")</f>
        <v>19:38</v>
      </c>
      <c r="I410" s="0" t="str">
        <f aca="false">IFERROR(VLOOKUP(C410,threat_intelligence!A:B,2,0),"CLEAN")</f>
        <v>CLEAN</v>
      </c>
    </row>
    <row r="411" customFormat="false" ht="12.8" hidden="false" customHeight="false" outlineLevel="0" collapsed="false">
      <c r="A411" s="3" t="n">
        <v>45499.3631944445</v>
      </c>
      <c r="B411" s="1" t="s">
        <v>1240</v>
      </c>
      <c r="C411" s="1" t="s">
        <v>1241</v>
      </c>
      <c r="D411" s="4" t="s">
        <v>1242</v>
      </c>
      <c r="E411" s="1" t="s">
        <v>21</v>
      </c>
      <c r="F411" s="1" t="s">
        <v>25</v>
      </c>
      <c r="G411" s="1" t="str">
        <f aca="false">TEXT(A411,"YYYY-MM-DD")</f>
        <v>2024-07-26</v>
      </c>
      <c r="H411" s="1" t="str">
        <f aca="false">TEXT(A411,"HH:MM")</f>
        <v>08:43</v>
      </c>
      <c r="I411" s="0" t="str">
        <f aca="false">IFERROR(VLOOKUP(C411,threat_intelligence!A:B,2,0),"CLEAN")</f>
        <v>CLEAN</v>
      </c>
    </row>
    <row r="412" customFormat="false" ht="12.8" hidden="false" customHeight="false" outlineLevel="0" collapsed="false">
      <c r="A412" s="3" t="n">
        <v>45499.9715277778</v>
      </c>
      <c r="B412" s="1" t="s">
        <v>1243</v>
      </c>
      <c r="C412" s="1" t="s">
        <v>1244</v>
      </c>
      <c r="D412" s="4" t="s">
        <v>1245</v>
      </c>
      <c r="E412" s="1" t="s">
        <v>12</v>
      </c>
      <c r="F412" s="1" t="s">
        <v>25</v>
      </c>
      <c r="G412" s="1" t="str">
        <f aca="false">TEXT(A412,"YYYY-MM-DD")</f>
        <v>2024-07-26</v>
      </c>
      <c r="H412" s="1" t="str">
        <f aca="false">TEXT(A412,"HH:MM")</f>
        <v>23:19</v>
      </c>
      <c r="I412" s="0" t="str">
        <f aca="false">IFERROR(VLOOKUP(C412,threat_intelligence!A:B,2,0),"CLEAN")</f>
        <v>CLEAN</v>
      </c>
    </row>
    <row r="413" customFormat="false" ht="12.8" hidden="false" customHeight="false" outlineLevel="0" collapsed="false">
      <c r="A413" s="3" t="n">
        <v>45499.5083333333</v>
      </c>
      <c r="B413" s="1" t="s">
        <v>1246</v>
      </c>
      <c r="C413" s="1" t="s">
        <v>1247</v>
      </c>
      <c r="D413" s="4" t="s">
        <v>1248</v>
      </c>
      <c r="E413" s="1" t="s">
        <v>12</v>
      </c>
      <c r="F413" s="1" t="s">
        <v>25</v>
      </c>
      <c r="G413" s="1" t="str">
        <f aca="false">TEXT(A413,"YYYY-MM-DD")</f>
        <v>2024-07-26</v>
      </c>
      <c r="H413" s="1" t="str">
        <f aca="false">TEXT(A413,"HH:MM")</f>
        <v>12:12</v>
      </c>
      <c r="I413" s="0" t="str">
        <f aca="false">IFERROR(VLOOKUP(C413,threat_intelligence!A:B,2,0),"CLEAN")</f>
        <v>CLEAN</v>
      </c>
    </row>
    <row r="414" customFormat="false" ht="12.8" hidden="false" customHeight="false" outlineLevel="0" collapsed="false">
      <c r="A414" s="3" t="n">
        <v>45499.3444444445</v>
      </c>
      <c r="B414" s="1" t="s">
        <v>1249</v>
      </c>
      <c r="C414" s="1" t="s">
        <v>1250</v>
      </c>
      <c r="D414" s="4" t="s">
        <v>1251</v>
      </c>
      <c r="E414" s="1" t="s">
        <v>17</v>
      </c>
      <c r="F414" s="1" t="s">
        <v>25</v>
      </c>
      <c r="G414" s="1" t="str">
        <f aca="false">TEXT(A414,"YYYY-MM-DD")</f>
        <v>2024-07-26</v>
      </c>
      <c r="H414" s="1" t="str">
        <f aca="false">TEXT(A414,"HH:MM")</f>
        <v>08:16</v>
      </c>
      <c r="I414" s="0" t="str">
        <f aca="false">IFERROR(VLOOKUP(C414,threat_intelligence!A:B,2,0),"CLEAN")</f>
        <v>CLEAN</v>
      </c>
    </row>
    <row r="415" customFormat="false" ht="12.8" hidden="false" customHeight="false" outlineLevel="0" collapsed="false">
      <c r="A415" s="3" t="n">
        <v>45499.9881944445</v>
      </c>
      <c r="B415" s="1" t="s">
        <v>1252</v>
      </c>
      <c r="C415" s="1" t="s">
        <v>1253</v>
      </c>
      <c r="D415" s="4" t="s">
        <v>1254</v>
      </c>
      <c r="E415" s="1" t="s">
        <v>17</v>
      </c>
      <c r="F415" s="1" t="s">
        <v>13</v>
      </c>
      <c r="G415" s="1" t="str">
        <f aca="false">TEXT(A415,"YYYY-MM-DD")</f>
        <v>2024-07-26</v>
      </c>
      <c r="H415" s="1" t="str">
        <f aca="false">TEXT(A415,"HH:MM")</f>
        <v>23:43</v>
      </c>
      <c r="I415" s="0" t="str">
        <f aca="false">IFERROR(VLOOKUP(C415,threat_intelligence!A:B,2,0),"CLEAN")</f>
        <v>CLEAN</v>
      </c>
    </row>
    <row r="416" customFormat="false" ht="12.8" hidden="false" customHeight="false" outlineLevel="0" collapsed="false">
      <c r="A416" s="3" t="n">
        <v>45499.8229166667</v>
      </c>
      <c r="B416" s="1" t="s">
        <v>1255</v>
      </c>
      <c r="C416" s="1" t="s">
        <v>1256</v>
      </c>
      <c r="D416" s="4" t="s">
        <v>1257</v>
      </c>
      <c r="E416" s="1" t="s">
        <v>21</v>
      </c>
      <c r="F416" s="1" t="s">
        <v>13</v>
      </c>
      <c r="G416" s="1" t="str">
        <f aca="false">TEXT(A416,"YYYY-MM-DD")</f>
        <v>2024-07-26</v>
      </c>
      <c r="H416" s="1" t="str">
        <f aca="false">TEXT(A416,"HH:MM")</f>
        <v>19:45</v>
      </c>
      <c r="I416" s="0" t="str">
        <f aca="false">IFERROR(VLOOKUP(C416,threat_intelligence!A:B,2,0),"CLEAN")</f>
        <v>CLEAN</v>
      </c>
    </row>
    <row r="417" customFormat="false" ht="12.8" hidden="false" customHeight="false" outlineLevel="0" collapsed="false">
      <c r="A417" s="3" t="n">
        <v>45500.1402777778</v>
      </c>
      <c r="B417" s="1" t="s">
        <v>1258</v>
      </c>
      <c r="C417" s="1" t="s">
        <v>1259</v>
      </c>
      <c r="D417" s="4" t="s">
        <v>1260</v>
      </c>
      <c r="E417" s="1" t="s">
        <v>17</v>
      </c>
      <c r="F417" s="1" t="s">
        <v>25</v>
      </c>
      <c r="G417" s="1" t="str">
        <f aca="false">TEXT(A417,"YYYY-MM-DD")</f>
        <v>2024-07-27</v>
      </c>
      <c r="H417" s="1" t="str">
        <f aca="false">TEXT(A417,"HH:MM")</f>
        <v>03:22</v>
      </c>
      <c r="I417" s="0" t="str">
        <f aca="false">IFERROR(VLOOKUP(C417,threat_intelligence!A:B,2,0),"CLEAN")</f>
        <v>CLEAN</v>
      </c>
    </row>
    <row r="418" customFormat="false" ht="12.8" hidden="false" customHeight="false" outlineLevel="0" collapsed="false">
      <c r="A418" s="3" t="n">
        <v>45500.0111111111</v>
      </c>
      <c r="B418" s="1" t="s">
        <v>1261</v>
      </c>
      <c r="C418" s="1" t="s">
        <v>1262</v>
      </c>
      <c r="D418" s="4" t="s">
        <v>1263</v>
      </c>
      <c r="E418" s="1" t="s">
        <v>12</v>
      </c>
      <c r="F418" s="1" t="s">
        <v>25</v>
      </c>
      <c r="G418" s="1" t="str">
        <f aca="false">TEXT(A418,"YYYY-MM-DD")</f>
        <v>2024-07-27</v>
      </c>
      <c r="H418" s="1" t="str">
        <f aca="false">TEXT(A418,"HH:MM")</f>
        <v>00:16</v>
      </c>
      <c r="I418" s="0" t="str">
        <f aca="false">IFERROR(VLOOKUP(C418,threat_intelligence!A:B,2,0),"CLEAN")</f>
        <v>CLEAN</v>
      </c>
    </row>
    <row r="419" customFormat="false" ht="12.8" hidden="false" customHeight="false" outlineLevel="0" collapsed="false">
      <c r="A419" s="3" t="n">
        <v>45499.9368055556</v>
      </c>
      <c r="B419" s="1" t="s">
        <v>1264</v>
      </c>
      <c r="C419" s="1" t="s">
        <v>1265</v>
      </c>
      <c r="D419" s="4" t="s">
        <v>1266</v>
      </c>
      <c r="E419" s="1" t="s">
        <v>21</v>
      </c>
      <c r="F419" s="1" t="s">
        <v>25</v>
      </c>
      <c r="G419" s="1" t="str">
        <f aca="false">TEXT(A419,"YYYY-MM-DD")</f>
        <v>2024-07-26</v>
      </c>
      <c r="H419" s="1" t="str">
        <f aca="false">TEXT(A419,"HH:MM")</f>
        <v>22:29</v>
      </c>
      <c r="I419" s="0" t="str">
        <f aca="false">IFERROR(VLOOKUP(C419,threat_intelligence!A:B,2,0),"CLEAN")</f>
        <v>CLEAN</v>
      </c>
    </row>
    <row r="420" customFormat="false" ht="12.8" hidden="false" customHeight="false" outlineLevel="0" collapsed="false">
      <c r="A420" s="3" t="n">
        <v>45499.86875</v>
      </c>
      <c r="B420" s="1" t="s">
        <v>1267</v>
      </c>
      <c r="C420" s="1" t="s">
        <v>1268</v>
      </c>
      <c r="D420" s="4" t="s">
        <v>1269</v>
      </c>
      <c r="E420" s="1" t="s">
        <v>21</v>
      </c>
      <c r="F420" s="1" t="s">
        <v>13</v>
      </c>
      <c r="G420" s="1" t="str">
        <f aca="false">TEXT(A420,"YYYY-MM-DD")</f>
        <v>2024-07-26</v>
      </c>
      <c r="H420" s="1" t="str">
        <f aca="false">TEXT(A420,"HH:MM")</f>
        <v>20:51</v>
      </c>
      <c r="I420" s="0" t="str">
        <f aca="false">IFERROR(VLOOKUP(C420,threat_intelligence!A:B,2,0),"CLEAN")</f>
        <v>CLEAN</v>
      </c>
    </row>
    <row r="421" customFormat="false" ht="12.8" hidden="false" customHeight="false" outlineLevel="0" collapsed="false">
      <c r="A421" s="3" t="n">
        <v>45500.1604166667</v>
      </c>
      <c r="B421" s="1" t="s">
        <v>1270</v>
      </c>
      <c r="C421" s="1" t="s">
        <v>1271</v>
      </c>
      <c r="D421" s="4" t="s">
        <v>1272</v>
      </c>
      <c r="E421" s="1" t="s">
        <v>21</v>
      </c>
      <c r="F421" s="1" t="s">
        <v>13</v>
      </c>
      <c r="G421" s="1" t="str">
        <f aca="false">TEXT(A421,"YYYY-MM-DD")</f>
        <v>2024-07-27</v>
      </c>
      <c r="H421" s="1" t="str">
        <f aca="false">TEXT(A421,"HH:MM")</f>
        <v>03:51</v>
      </c>
      <c r="I421" s="0" t="str">
        <f aca="false">IFERROR(VLOOKUP(C421,threat_intelligence!A:B,2,0),"CLEAN")</f>
        <v>CLEAN</v>
      </c>
    </row>
    <row r="422" customFormat="false" ht="12.8" hidden="false" customHeight="false" outlineLevel="0" collapsed="false">
      <c r="A422" s="3" t="n">
        <v>45500.1805555556</v>
      </c>
      <c r="B422" s="1" t="s">
        <v>1273</v>
      </c>
      <c r="C422" s="1" t="s">
        <v>1274</v>
      </c>
      <c r="D422" s="4" t="s">
        <v>1275</v>
      </c>
      <c r="E422" s="1" t="s">
        <v>21</v>
      </c>
      <c r="F422" s="1" t="s">
        <v>25</v>
      </c>
      <c r="G422" s="1" t="str">
        <f aca="false">TEXT(A422,"YYYY-MM-DD")</f>
        <v>2024-07-27</v>
      </c>
      <c r="H422" s="1" t="str">
        <f aca="false">TEXT(A422,"HH:MM")</f>
        <v>04:20</v>
      </c>
      <c r="I422" s="0" t="str">
        <f aca="false">IFERROR(VLOOKUP(C422,threat_intelligence!A:B,2,0),"CLEAN")</f>
        <v>CLEAN</v>
      </c>
    </row>
    <row r="423" customFormat="false" ht="12.8" hidden="false" customHeight="false" outlineLevel="0" collapsed="false">
      <c r="A423" s="3" t="n">
        <v>45500.1090277778</v>
      </c>
      <c r="B423" s="1" t="s">
        <v>1276</v>
      </c>
      <c r="C423" s="1" t="s">
        <v>1277</v>
      </c>
      <c r="D423" s="4" t="s">
        <v>1278</v>
      </c>
      <c r="E423" s="1" t="s">
        <v>12</v>
      </c>
      <c r="F423" s="1" t="s">
        <v>13</v>
      </c>
      <c r="G423" s="1" t="str">
        <f aca="false">TEXT(A423,"YYYY-MM-DD")</f>
        <v>2024-07-27</v>
      </c>
      <c r="H423" s="1" t="str">
        <f aca="false">TEXT(A423,"HH:MM")</f>
        <v>02:37</v>
      </c>
      <c r="I423" s="0" t="str">
        <f aca="false">IFERROR(VLOOKUP(C423,threat_intelligence!A:B,2,0),"CLEAN")</f>
        <v>CLEAN</v>
      </c>
    </row>
    <row r="424" customFormat="false" ht="12.8" hidden="false" customHeight="false" outlineLevel="0" collapsed="false">
      <c r="A424" s="3" t="n">
        <v>45499.9208333333</v>
      </c>
      <c r="B424" s="1" t="s">
        <v>1279</v>
      </c>
      <c r="C424" s="1" t="s">
        <v>1280</v>
      </c>
      <c r="D424" s="4" t="s">
        <v>1281</v>
      </c>
      <c r="E424" s="1" t="s">
        <v>21</v>
      </c>
      <c r="F424" s="1" t="s">
        <v>13</v>
      </c>
      <c r="G424" s="1" t="str">
        <f aca="false">TEXT(A424,"YYYY-MM-DD")</f>
        <v>2024-07-26</v>
      </c>
      <c r="H424" s="1" t="str">
        <f aca="false">TEXT(A424,"HH:MM")</f>
        <v>22:06</v>
      </c>
      <c r="I424" s="0" t="str">
        <f aca="false">IFERROR(VLOOKUP(C424,threat_intelligence!A:B,2,0),"CLEAN")</f>
        <v>CLEAN</v>
      </c>
    </row>
    <row r="425" customFormat="false" ht="12.8" hidden="false" customHeight="false" outlineLevel="0" collapsed="false">
      <c r="A425" s="3" t="n">
        <v>45500.30625</v>
      </c>
      <c r="B425" s="1" t="s">
        <v>1282</v>
      </c>
      <c r="C425" s="1" t="s">
        <v>1283</v>
      </c>
      <c r="D425" s="4" t="s">
        <v>1284</v>
      </c>
      <c r="E425" s="1" t="s">
        <v>12</v>
      </c>
      <c r="F425" s="1" t="s">
        <v>25</v>
      </c>
      <c r="G425" s="1" t="str">
        <f aca="false">TEXT(A425,"YYYY-MM-DD")</f>
        <v>2024-07-27</v>
      </c>
      <c r="H425" s="1" t="str">
        <f aca="false">TEXT(A425,"HH:MM")</f>
        <v>07:21</v>
      </c>
      <c r="I425" s="0" t="str">
        <f aca="false">IFERROR(VLOOKUP(C425,threat_intelligence!A:B,2,0),"CLEAN")</f>
        <v>CLEAN</v>
      </c>
    </row>
    <row r="426" customFormat="false" ht="12.8" hidden="false" customHeight="false" outlineLevel="0" collapsed="false">
      <c r="A426" s="3" t="n">
        <v>45499.3354166667</v>
      </c>
      <c r="B426" s="1" t="s">
        <v>1285</v>
      </c>
      <c r="C426" s="1" t="s">
        <v>1286</v>
      </c>
      <c r="D426" s="4" t="s">
        <v>1287</v>
      </c>
      <c r="E426" s="1" t="s">
        <v>17</v>
      </c>
      <c r="F426" s="1" t="s">
        <v>25</v>
      </c>
      <c r="G426" s="1" t="str">
        <f aca="false">TEXT(A426,"YYYY-MM-DD")</f>
        <v>2024-07-26</v>
      </c>
      <c r="H426" s="1" t="str">
        <f aca="false">TEXT(A426,"HH:MM")</f>
        <v>08:03</v>
      </c>
      <c r="I426" s="0" t="str">
        <f aca="false">IFERROR(VLOOKUP(C426,threat_intelligence!A:B,2,0),"CLEAN")</f>
        <v>CLEAN</v>
      </c>
    </row>
    <row r="427" customFormat="false" ht="12.8" hidden="false" customHeight="false" outlineLevel="0" collapsed="false">
      <c r="A427" s="3" t="n">
        <v>45500.2611111111</v>
      </c>
      <c r="B427" s="1" t="s">
        <v>1288</v>
      </c>
      <c r="C427" s="1" t="s">
        <v>1289</v>
      </c>
      <c r="D427" s="4" t="s">
        <v>1290</v>
      </c>
      <c r="E427" s="1" t="s">
        <v>12</v>
      </c>
      <c r="F427" s="1" t="s">
        <v>25</v>
      </c>
      <c r="G427" s="1" t="str">
        <f aca="false">TEXT(A427,"YYYY-MM-DD")</f>
        <v>2024-07-27</v>
      </c>
      <c r="H427" s="1" t="str">
        <f aca="false">TEXT(A427,"HH:MM")</f>
        <v>06:16</v>
      </c>
      <c r="I427" s="0" t="str">
        <f aca="false">IFERROR(VLOOKUP(C427,threat_intelligence!A:B,2,0),"CLEAN")</f>
        <v>CLEAN</v>
      </c>
    </row>
    <row r="428" customFormat="false" ht="12.8" hidden="false" customHeight="false" outlineLevel="0" collapsed="false">
      <c r="A428" s="3" t="n">
        <v>45499.4902777778</v>
      </c>
      <c r="B428" s="1" t="s">
        <v>1291</v>
      </c>
      <c r="C428" s="1" t="s">
        <v>1292</v>
      </c>
      <c r="D428" s="4" t="s">
        <v>1293</v>
      </c>
      <c r="E428" s="1" t="s">
        <v>12</v>
      </c>
      <c r="F428" s="1" t="s">
        <v>25</v>
      </c>
      <c r="G428" s="1" t="str">
        <f aca="false">TEXT(A428,"YYYY-MM-DD")</f>
        <v>2024-07-26</v>
      </c>
      <c r="H428" s="1" t="str">
        <f aca="false">TEXT(A428,"HH:MM")</f>
        <v>11:46</v>
      </c>
      <c r="I428" s="0" t="str">
        <f aca="false">IFERROR(VLOOKUP(C428,threat_intelligence!A:B,2,0),"CLEAN")</f>
        <v>CLEAN</v>
      </c>
    </row>
    <row r="429" customFormat="false" ht="12.8" hidden="false" customHeight="false" outlineLevel="0" collapsed="false">
      <c r="A429" s="3" t="n">
        <v>45499.7430555556</v>
      </c>
      <c r="B429" s="1" t="s">
        <v>1294</v>
      </c>
      <c r="C429" s="1" t="s">
        <v>1295</v>
      </c>
      <c r="D429" s="4" t="s">
        <v>1296</v>
      </c>
      <c r="E429" s="1" t="s">
        <v>21</v>
      </c>
      <c r="F429" s="1" t="s">
        <v>13</v>
      </c>
      <c r="G429" s="1" t="str">
        <f aca="false">TEXT(A429,"YYYY-MM-DD")</f>
        <v>2024-07-26</v>
      </c>
      <c r="H429" s="1" t="str">
        <f aca="false">TEXT(A429,"HH:MM")</f>
        <v>17:50</v>
      </c>
      <c r="I429" s="0" t="str">
        <f aca="false">IFERROR(VLOOKUP(C429,threat_intelligence!A:B,2,0),"CLEAN")</f>
        <v>CLEAN</v>
      </c>
    </row>
    <row r="430" customFormat="false" ht="12.8" hidden="false" customHeight="false" outlineLevel="0" collapsed="false">
      <c r="A430" s="3" t="n">
        <v>45499.6631944444</v>
      </c>
      <c r="B430" s="1" t="s">
        <v>1297</v>
      </c>
      <c r="C430" s="1" t="s">
        <v>1298</v>
      </c>
      <c r="D430" s="4" t="s">
        <v>1299</v>
      </c>
      <c r="E430" s="1" t="s">
        <v>12</v>
      </c>
      <c r="F430" s="1" t="s">
        <v>13</v>
      </c>
      <c r="G430" s="1" t="str">
        <f aca="false">TEXT(A430,"YYYY-MM-DD")</f>
        <v>2024-07-26</v>
      </c>
      <c r="H430" s="1" t="str">
        <f aca="false">TEXT(A430,"HH:MM")</f>
        <v>15:55</v>
      </c>
      <c r="I430" s="0" t="str">
        <f aca="false">IFERROR(VLOOKUP(C430,threat_intelligence!A:B,2,0),"CLEAN")</f>
        <v>CLEAN</v>
      </c>
    </row>
    <row r="431" customFormat="false" ht="12.8" hidden="false" customHeight="false" outlineLevel="0" collapsed="false">
      <c r="A431" s="3" t="n">
        <v>45499.7201388889</v>
      </c>
      <c r="B431" s="1" t="s">
        <v>1300</v>
      </c>
      <c r="C431" s="1" t="s">
        <v>1301</v>
      </c>
      <c r="D431" s="4" t="s">
        <v>1302</v>
      </c>
      <c r="E431" s="1" t="s">
        <v>17</v>
      </c>
      <c r="F431" s="1" t="s">
        <v>25</v>
      </c>
      <c r="G431" s="1" t="str">
        <f aca="false">TEXT(A431,"YYYY-MM-DD")</f>
        <v>2024-07-26</v>
      </c>
      <c r="H431" s="1" t="str">
        <f aca="false">TEXT(A431,"HH:MM")</f>
        <v>17:17</v>
      </c>
      <c r="I431" s="0" t="str">
        <f aca="false">IFERROR(VLOOKUP(C431,threat_intelligence!A:B,2,0),"CLEAN")</f>
        <v>CLEAN</v>
      </c>
    </row>
    <row r="432" customFormat="false" ht="12.8" hidden="false" customHeight="false" outlineLevel="0" collapsed="false">
      <c r="A432" s="3" t="n">
        <v>45499.9847222222</v>
      </c>
      <c r="B432" s="1" t="s">
        <v>1303</v>
      </c>
      <c r="C432" s="1" t="s">
        <v>1304</v>
      </c>
      <c r="D432" s="4" t="s">
        <v>1305</v>
      </c>
      <c r="E432" s="1" t="s">
        <v>21</v>
      </c>
      <c r="F432" s="1" t="s">
        <v>13</v>
      </c>
      <c r="G432" s="1" t="str">
        <f aca="false">TEXT(A432,"YYYY-MM-DD")</f>
        <v>2024-07-26</v>
      </c>
      <c r="H432" s="1" t="str">
        <f aca="false">TEXT(A432,"HH:MM")</f>
        <v>23:38</v>
      </c>
      <c r="I432" s="0" t="str">
        <f aca="false">IFERROR(VLOOKUP(C432,threat_intelligence!A:B,2,0),"CLEAN")</f>
        <v>CLEAN</v>
      </c>
    </row>
    <row r="433" customFormat="false" ht="12.8" hidden="false" customHeight="false" outlineLevel="0" collapsed="false">
      <c r="A433" s="3" t="n">
        <v>45500.0756944444</v>
      </c>
      <c r="B433" s="1" t="s">
        <v>1306</v>
      </c>
      <c r="C433" s="1" t="s">
        <v>1307</v>
      </c>
      <c r="D433" s="4" t="s">
        <v>1308</v>
      </c>
      <c r="E433" s="1" t="s">
        <v>21</v>
      </c>
      <c r="F433" s="1" t="s">
        <v>25</v>
      </c>
      <c r="G433" s="1" t="str">
        <f aca="false">TEXT(A433,"YYYY-MM-DD")</f>
        <v>2024-07-27</v>
      </c>
      <c r="H433" s="1" t="str">
        <f aca="false">TEXT(A433,"HH:MM")</f>
        <v>01:49</v>
      </c>
      <c r="I433" s="0" t="str">
        <f aca="false">IFERROR(VLOOKUP(C433,threat_intelligence!A:B,2,0),"CLEAN")</f>
        <v>CLEAN</v>
      </c>
    </row>
    <row r="434" customFormat="false" ht="12.8" hidden="false" customHeight="false" outlineLevel="0" collapsed="false">
      <c r="A434" s="3" t="n">
        <v>45499.8368055556</v>
      </c>
      <c r="B434" s="1" t="s">
        <v>1309</v>
      </c>
      <c r="C434" s="1" t="s">
        <v>1310</v>
      </c>
      <c r="D434" s="4" t="s">
        <v>1311</v>
      </c>
      <c r="E434" s="1" t="s">
        <v>12</v>
      </c>
      <c r="F434" s="1" t="s">
        <v>25</v>
      </c>
      <c r="G434" s="1" t="str">
        <f aca="false">TEXT(A434,"YYYY-MM-DD")</f>
        <v>2024-07-26</v>
      </c>
      <c r="H434" s="1" t="str">
        <f aca="false">TEXT(A434,"HH:MM")</f>
        <v>20:05</v>
      </c>
      <c r="I434" s="0" t="str">
        <f aca="false">IFERROR(VLOOKUP(C434,threat_intelligence!A:B,2,0),"CLEAN")</f>
        <v>CLEAN</v>
      </c>
    </row>
    <row r="435" customFormat="false" ht="12.8" hidden="false" customHeight="false" outlineLevel="0" collapsed="false">
      <c r="A435" s="3" t="n">
        <v>45499.7027777778</v>
      </c>
      <c r="B435" s="1" t="s">
        <v>1312</v>
      </c>
      <c r="C435" s="1" t="s">
        <v>1313</v>
      </c>
      <c r="D435" s="4" t="s">
        <v>1314</v>
      </c>
      <c r="E435" s="1" t="s">
        <v>21</v>
      </c>
      <c r="F435" s="1" t="s">
        <v>13</v>
      </c>
      <c r="G435" s="1" t="str">
        <f aca="false">TEXT(A435,"YYYY-MM-DD")</f>
        <v>2024-07-26</v>
      </c>
      <c r="H435" s="1" t="str">
        <f aca="false">TEXT(A435,"HH:MM")</f>
        <v>16:52</v>
      </c>
      <c r="I435" s="0" t="str">
        <f aca="false">IFERROR(VLOOKUP(C435,threat_intelligence!A:B,2,0),"CLEAN")</f>
        <v>CLEAN</v>
      </c>
    </row>
    <row r="436" customFormat="false" ht="12.8" hidden="false" customHeight="false" outlineLevel="0" collapsed="false">
      <c r="A436" s="3" t="n">
        <v>45500.0576388889</v>
      </c>
      <c r="B436" s="1" t="s">
        <v>1315</v>
      </c>
      <c r="C436" s="1" t="s">
        <v>1316</v>
      </c>
      <c r="D436" s="4" t="s">
        <v>1317</v>
      </c>
      <c r="E436" s="1" t="s">
        <v>21</v>
      </c>
      <c r="F436" s="1" t="s">
        <v>13</v>
      </c>
      <c r="G436" s="1" t="str">
        <f aca="false">TEXT(A436,"YYYY-MM-DD")</f>
        <v>2024-07-27</v>
      </c>
      <c r="H436" s="1" t="str">
        <f aca="false">TEXT(A436,"HH:MM")</f>
        <v>01:23</v>
      </c>
      <c r="I436" s="0" t="str">
        <f aca="false">IFERROR(VLOOKUP(C436,threat_intelligence!A:B,2,0),"CLEAN")</f>
        <v>CLEAN</v>
      </c>
    </row>
    <row r="437" customFormat="false" ht="12.8" hidden="false" customHeight="false" outlineLevel="0" collapsed="false">
      <c r="A437" s="3" t="n">
        <v>45499.5701388889</v>
      </c>
      <c r="B437" s="1" t="s">
        <v>1318</v>
      </c>
      <c r="C437" s="1" t="s">
        <v>1319</v>
      </c>
      <c r="D437" s="4" t="s">
        <v>1320</v>
      </c>
      <c r="E437" s="1" t="s">
        <v>21</v>
      </c>
      <c r="F437" s="1" t="s">
        <v>25</v>
      </c>
      <c r="G437" s="1" t="str">
        <f aca="false">TEXT(A437,"YYYY-MM-DD")</f>
        <v>2024-07-26</v>
      </c>
      <c r="H437" s="1" t="str">
        <f aca="false">TEXT(A437,"HH:MM")</f>
        <v>13:41</v>
      </c>
      <c r="I437" s="0" t="str">
        <f aca="false">IFERROR(VLOOKUP(C437,threat_intelligence!A:B,2,0),"CLEAN")</f>
        <v>CLEAN</v>
      </c>
    </row>
    <row r="438" customFormat="false" ht="12.8" hidden="false" customHeight="false" outlineLevel="0" collapsed="false">
      <c r="A438" s="3" t="n">
        <v>45499.8527777778</v>
      </c>
      <c r="B438" s="1" t="s">
        <v>1321</v>
      </c>
      <c r="C438" s="1" t="s">
        <v>1322</v>
      </c>
      <c r="D438" s="4" t="s">
        <v>1323</v>
      </c>
      <c r="E438" s="1" t="s">
        <v>21</v>
      </c>
      <c r="F438" s="1" t="s">
        <v>13</v>
      </c>
      <c r="G438" s="1" t="str">
        <f aca="false">TEXT(A438,"YYYY-MM-DD")</f>
        <v>2024-07-26</v>
      </c>
      <c r="H438" s="1" t="str">
        <f aca="false">TEXT(A438,"HH:MM")</f>
        <v>20:28</v>
      </c>
      <c r="I438" s="0" t="str">
        <f aca="false">IFERROR(VLOOKUP(C438,threat_intelligence!A:B,2,0),"CLEAN")</f>
        <v>CLEAN</v>
      </c>
    </row>
    <row r="439" customFormat="false" ht="12.8" hidden="false" customHeight="false" outlineLevel="0" collapsed="false">
      <c r="A439" s="3" t="n">
        <v>45500.2027777778</v>
      </c>
      <c r="B439" s="1" t="s">
        <v>1324</v>
      </c>
      <c r="C439" s="1" t="s">
        <v>1325</v>
      </c>
      <c r="D439" s="4" t="s">
        <v>1326</v>
      </c>
      <c r="E439" s="1" t="s">
        <v>12</v>
      </c>
      <c r="F439" s="1" t="s">
        <v>13</v>
      </c>
      <c r="G439" s="1" t="str">
        <f aca="false">TEXT(A439,"YYYY-MM-DD")</f>
        <v>2024-07-27</v>
      </c>
      <c r="H439" s="1" t="str">
        <f aca="false">TEXT(A439,"HH:MM")</f>
        <v>04:52</v>
      </c>
      <c r="I439" s="0" t="str">
        <f aca="false">IFERROR(VLOOKUP(C439,threat_intelligence!A:B,2,0),"CLEAN")</f>
        <v>CLEAN</v>
      </c>
    </row>
    <row r="440" customFormat="false" ht="12.8" hidden="false" customHeight="false" outlineLevel="0" collapsed="false">
      <c r="A440" s="3" t="n">
        <v>45499.8388888889</v>
      </c>
      <c r="B440" s="1" t="s">
        <v>1327</v>
      </c>
      <c r="C440" s="1" t="s">
        <v>1328</v>
      </c>
      <c r="D440" s="4" t="s">
        <v>1329</v>
      </c>
      <c r="E440" s="1" t="s">
        <v>12</v>
      </c>
      <c r="F440" s="1" t="s">
        <v>13</v>
      </c>
      <c r="G440" s="1" t="str">
        <f aca="false">TEXT(A440,"YYYY-MM-DD")</f>
        <v>2024-07-26</v>
      </c>
      <c r="H440" s="1" t="str">
        <f aca="false">TEXT(A440,"HH:MM")</f>
        <v>20:08</v>
      </c>
      <c r="I440" s="0" t="str">
        <f aca="false">IFERROR(VLOOKUP(C440,threat_intelligence!A:B,2,0),"CLEAN")</f>
        <v>CLEAN</v>
      </c>
    </row>
    <row r="441" customFormat="false" ht="12.8" hidden="false" customHeight="false" outlineLevel="0" collapsed="false">
      <c r="A441" s="3" t="n">
        <v>45500.325</v>
      </c>
      <c r="B441" s="1" t="s">
        <v>1330</v>
      </c>
      <c r="C441" s="1" t="s">
        <v>1331</v>
      </c>
      <c r="D441" s="4" t="s">
        <v>1332</v>
      </c>
      <c r="E441" s="1" t="s">
        <v>21</v>
      </c>
      <c r="F441" s="1" t="s">
        <v>25</v>
      </c>
      <c r="G441" s="1" t="str">
        <f aca="false">TEXT(A441,"YYYY-MM-DD")</f>
        <v>2024-07-27</v>
      </c>
      <c r="H441" s="1" t="str">
        <f aca="false">TEXT(A441,"HH:MM")</f>
        <v>07:48</v>
      </c>
      <c r="I441" s="0" t="str">
        <f aca="false">IFERROR(VLOOKUP(C441,threat_intelligence!A:B,2,0),"CLEAN")</f>
        <v>CLEAN</v>
      </c>
    </row>
    <row r="442" customFormat="false" ht="12.8" hidden="false" customHeight="false" outlineLevel="0" collapsed="false">
      <c r="A442" s="3" t="n">
        <v>45500.0756944444</v>
      </c>
      <c r="B442" s="1" t="s">
        <v>1333</v>
      </c>
      <c r="C442" s="1" t="s">
        <v>1334</v>
      </c>
      <c r="D442" s="4" t="s">
        <v>1335</v>
      </c>
      <c r="E442" s="1" t="s">
        <v>21</v>
      </c>
      <c r="F442" s="1" t="s">
        <v>13</v>
      </c>
      <c r="G442" s="1" t="str">
        <f aca="false">TEXT(A442,"YYYY-MM-DD")</f>
        <v>2024-07-27</v>
      </c>
      <c r="H442" s="1" t="str">
        <f aca="false">TEXT(A442,"HH:MM")</f>
        <v>01:49</v>
      </c>
      <c r="I442" s="0" t="str">
        <f aca="false">IFERROR(VLOOKUP(C442,threat_intelligence!A:B,2,0),"CLEAN")</f>
        <v>CLEAN</v>
      </c>
    </row>
    <row r="443" customFormat="false" ht="12.8" hidden="false" customHeight="false" outlineLevel="0" collapsed="false">
      <c r="A443" s="3" t="n">
        <v>45499.7465277778</v>
      </c>
      <c r="B443" s="1" t="s">
        <v>1336</v>
      </c>
      <c r="C443" s="1" t="s">
        <v>1337</v>
      </c>
      <c r="D443" s="4" t="s">
        <v>1338</v>
      </c>
      <c r="E443" s="1" t="s">
        <v>12</v>
      </c>
      <c r="F443" s="1" t="s">
        <v>25</v>
      </c>
      <c r="G443" s="1" t="str">
        <f aca="false">TEXT(A443,"YYYY-MM-DD")</f>
        <v>2024-07-26</v>
      </c>
      <c r="H443" s="1" t="str">
        <f aca="false">TEXT(A443,"HH:MM")</f>
        <v>17:55</v>
      </c>
      <c r="I443" s="0" t="str">
        <f aca="false">IFERROR(VLOOKUP(C443,threat_intelligence!A:B,2,0),"CLEAN")</f>
        <v>CLEAN</v>
      </c>
    </row>
    <row r="444" customFormat="false" ht="12.8" hidden="false" customHeight="false" outlineLevel="0" collapsed="false">
      <c r="A444" s="3" t="n">
        <v>45499.4333333333</v>
      </c>
      <c r="B444" s="1" t="s">
        <v>1339</v>
      </c>
      <c r="C444" s="1" t="s">
        <v>1340</v>
      </c>
      <c r="D444" s="4" t="s">
        <v>1341</v>
      </c>
      <c r="E444" s="1" t="s">
        <v>17</v>
      </c>
      <c r="F444" s="1" t="s">
        <v>13</v>
      </c>
      <c r="G444" s="1" t="str">
        <f aca="false">TEXT(A444,"YYYY-MM-DD")</f>
        <v>2024-07-26</v>
      </c>
      <c r="H444" s="1" t="str">
        <f aca="false">TEXT(A444,"HH:MM")</f>
        <v>10:24</v>
      </c>
      <c r="I444" s="0" t="str">
        <f aca="false">IFERROR(VLOOKUP(C444,threat_intelligence!A:B,2,0),"CLEAN")</f>
        <v>CLEAN</v>
      </c>
    </row>
    <row r="445" customFormat="false" ht="12.8" hidden="false" customHeight="false" outlineLevel="0" collapsed="false">
      <c r="A445" s="3" t="n">
        <v>45500.1305555556</v>
      </c>
      <c r="B445" s="1" t="s">
        <v>1342</v>
      </c>
      <c r="C445" s="1" t="s">
        <v>1343</v>
      </c>
      <c r="D445" s="4" t="s">
        <v>1344</v>
      </c>
      <c r="E445" s="1" t="s">
        <v>21</v>
      </c>
      <c r="F445" s="1" t="s">
        <v>25</v>
      </c>
      <c r="G445" s="1" t="str">
        <f aca="false">TEXT(A445,"YYYY-MM-DD")</f>
        <v>2024-07-27</v>
      </c>
      <c r="H445" s="1" t="str">
        <f aca="false">TEXT(A445,"HH:MM")</f>
        <v>03:08</v>
      </c>
      <c r="I445" s="0" t="str">
        <f aca="false">IFERROR(VLOOKUP(C445,threat_intelligence!A:B,2,0),"CLEAN")</f>
        <v>CLEAN</v>
      </c>
    </row>
    <row r="446" customFormat="false" ht="12.8" hidden="false" customHeight="false" outlineLevel="0" collapsed="false">
      <c r="A446" s="3" t="n">
        <v>45499.6229166667</v>
      </c>
      <c r="B446" s="1" t="s">
        <v>1345</v>
      </c>
      <c r="C446" s="1" t="s">
        <v>1346</v>
      </c>
      <c r="D446" s="4" t="s">
        <v>1347</v>
      </c>
      <c r="E446" s="1" t="s">
        <v>21</v>
      </c>
      <c r="F446" s="1" t="s">
        <v>13</v>
      </c>
      <c r="G446" s="1" t="str">
        <f aca="false">TEXT(A446,"YYYY-MM-DD")</f>
        <v>2024-07-26</v>
      </c>
      <c r="H446" s="1" t="str">
        <f aca="false">TEXT(A446,"HH:MM")</f>
        <v>14:57</v>
      </c>
      <c r="I446" s="0" t="str">
        <f aca="false">IFERROR(VLOOKUP(C446,threat_intelligence!A:B,2,0),"CLEAN")</f>
        <v>CLEAN</v>
      </c>
    </row>
    <row r="447" customFormat="false" ht="12.8" hidden="false" customHeight="false" outlineLevel="0" collapsed="false">
      <c r="A447" s="3" t="n">
        <v>45499.6986111111</v>
      </c>
      <c r="B447" s="1" t="s">
        <v>1348</v>
      </c>
      <c r="C447" s="1" t="s">
        <v>1349</v>
      </c>
      <c r="D447" s="4" t="s">
        <v>1350</v>
      </c>
      <c r="E447" s="1" t="s">
        <v>17</v>
      </c>
      <c r="F447" s="1" t="s">
        <v>25</v>
      </c>
      <c r="G447" s="1" t="str">
        <f aca="false">TEXT(A447,"YYYY-MM-DD")</f>
        <v>2024-07-26</v>
      </c>
      <c r="H447" s="1" t="str">
        <f aca="false">TEXT(A447,"HH:MM")</f>
        <v>16:46</v>
      </c>
      <c r="I447" s="0" t="str">
        <f aca="false">IFERROR(VLOOKUP(C447,threat_intelligence!A:B,2,0),"CLEAN")</f>
        <v>CLEAN</v>
      </c>
    </row>
    <row r="448" customFormat="false" ht="12.8" hidden="false" customHeight="false" outlineLevel="0" collapsed="false">
      <c r="A448" s="3" t="n">
        <v>45500.1638888889</v>
      </c>
      <c r="B448" s="1" t="s">
        <v>1351</v>
      </c>
      <c r="C448" s="1" t="s">
        <v>1352</v>
      </c>
      <c r="D448" s="4" t="s">
        <v>1353</v>
      </c>
      <c r="E448" s="1" t="s">
        <v>12</v>
      </c>
      <c r="F448" s="1" t="s">
        <v>25</v>
      </c>
      <c r="G448" s="1" t="str">
        <f aca="false">TEXT(A448,"YYYY-MM-DD")</f>
        <v>2024-07-27</v>
      </c>
      <c r="H448" s="1" t="str">
        <f aca="false">TEXT(A448,"HH:MM")</f>
        <v>03:56</v>
      </c>
      <c r="I448" s="0" t="str">
        <f aca="false">IFERROR(VLOOKUP(C448,threat_intelligence!A:B,2,0),"CLEAN")</f>
        <v>CLEAN</v>
      </c>
    </row>
    <row r="449" customFormat="false" ht="12.8" hidden="false" customHeight="false" outlineLevel="0" collapsed="false">
      <c r="A449" s="3" t="n">
        <v>45499.7041666667</v>
      </c>
      <c r="B449" s="1" t="s">
        <v>1354</v>
      </c>
      <c r="C449" s="1" t="s">
        <v>1355</v>
      </c>
      <c r="D449" s="4" t="s">
        <v>1356</v>
      </c>
      <c r="E449" s="1" t="s">
        <v>17</v>
      </c>
      <c r="F449" s="1" t="s">
        <v>25</v>
      </c>
      <c r="G449" s="1" t="str">
        <f aca="false">TEXT(A449,"YYYY-MM-DD")</f>
        <v>2024-07-26</v>
      </c>
      <c r="H449" s="1" t="str">
        <f aca="false">TEXT(A449,"HH:MM")</f>
        <v>16:54</v>
      </c>
      <c r="I449" s="0" t="str">
        <f aca="false">IFERROR(VLOOKUP(C449,threat_intelligence!A:B,2,0),"CLEAN")</f>
        <v>CLEAN</v>
      </c>
    </row>
    <row r="450" customFormat="false" ht="12.8" hidden="false" customHeight="false" outlineLevel="0" collapsed="false">
      <c r="A450" s="3" t="n">
        <v>45500.1743055556</v>
      </c>
      <c r="B450" s="1" t="s">
        <v>1357</v>
      </c>
      <c r="C450" s="1" t="s">
        <v>1358</v>
      </c>
      <c r="D450" s="4" t="s">
        <v>1359</v>
      </c>
      <c r="E450" s="1" t="s">
        <v>17</v>
      </c>
      <c r="F450" s="1" t="s">
        <v>13</v>
      </c>
      <c r="G450" s="1" t="str">
        <f aca="false">TEXT(A450,"YYYY-MM-DD")</f>
        <v>2024-07-27</v>
      </c>
      <c r="H450" s="1" t="str">
        <f aca="false">TEXT(A450,"HH:MM")</f>
        <v>04:11</v>
      </c>
      <c r="I450" s="0" t="str">
        <f aca="false">IFERROR(VLOOKUP(C450,threat_intelligence!A:B,2,0),"CLEAN")</f>
        <v>CLEAN</v>
      </c>
    </row>
    <row r="451" customFormat="false" ht="12.8" hidden="false" customHeight="false" outlineLevel="0" collapsed="false">
      <c r="A451" s="3" t="n">
        <v>45499.6041666667</v>
      </c>
      <c r="B451" s="1" t="s">
        <v>1360</v>
      </c>
      <c r="C451" s="1" t="s">
        <v>1361</v>
      </c>
      <c r="D451" s="4" t="s">
        <v>1362</v>
      </c>
      <c r="E451" s="1" t="s">
        <v>12</v>
      </c>
      <c r="F451" s="1" t="s">
        <v>13</v>
      </c>
      <c r="G451" s="1" t="str">
        <f aca="false">TEXT(A451,"YYYY-MM-DD")</f>
        <v>2024-07-26</v>
      </c>
      <c r="H451" s="1" t="str">
        <f aca="false">TEXT(A451,"HH:MM")</f>
        <v>14:30</v>
      </c>
      <c r="I451" s="0" t="str">
        <f aca="false">IFERROR(VLOOKUP(C451,threat_intelligence!A:B,2,0),"CLEAN")</f>
        <v>CLEAN</v>
      </c>
    </row>
    <row r="452" customFormat="false" ht="12.8" hidden="false" customHeight="false" outlineLevel="0" collapsed="false">
      <c r="A452" s="3" t="n">
        <v>45499.6944444444</v>
      </c>
      <c r="B452" s="1" t="s">
        <v>1363</v>
      </c>
      <c r="C452" s="1" t="s">
        <v>1364</v>
      </c>
      <c r="D452" s="4" t="s">
        <v>1365</v>
      </c>
      <c r="E452" s="1" t="s">
        <v>21</v>
      </c>
      <c r="F452" s="1" t="s">
        <v>13</v>
      </c>
      <c r="G452" s="1" t="str">
        <f aca="false">TEXT(A452,"YYYY-MM-DD")</f>
        <v>2024-07-26</v>
      </c>
      <c r="H452" s="1" t="str">
        <f aca="false">TEXT(A452,"HH:MM")</f>
        <v>16:40</v>
      </c>
      <c r="I452" s="0" t="str">
        <f aca="false">IFERROR(VLOOKUP(C452,threat_intelligence!A:B,2,0),"CLEAN")</f>
        <v>CLEAN</v>
      </c>
    </row>
    <row r="453" customFormat="false" ht="12.8" hidden="false" customHeight="false" outlineLevel="0" collapsed="false">
      <c r="A453" s="3" t="n">
        <v>45500.3034722222</v>
      </c>
      <c r="B453" s="1" t="s">
        <v>1366</v>
      </c>
      <c r="C453" s="1" t="s">
        <v>1367</v>
      </c>
      <c r="D453" s="4" t="s">
        <v>1368</v>
      </c>
      <c r="E453" s="1" t="s">
        <v>17</v>
      </c>
      <c r="F453" s="1" t="s">
        <v>25</v>
      </c>
      <c r="G453" s="1" t="str">
        <f aca="false">TEXT(A453,"YYYY-MM-DD")</f>
        <v>2024-07-27</v>
      </c>
      <c r="H453" s="1" t="str">
        <f aca="false">TEXT(A453,"HH:MM")</f>
        <v>07:17</v>
      </c>
      <c r="I453" s="0" t="str">
        <f aca="false">IFERROR(VLOOKUP(C453,threat_intelligence!A:B,2,0),"CLEAN")</f>
        <v>CLEAN</v>
      </c>
    </row>
    <row r="454" customFormat="false" ht="12.8" hidden="false" customHeight="false" outlineLevel="0" collapsed="false">
      <c r="A454" s="3" t="n">
        <v>45499.8888888889</v>
      </c>
      <c r="B454" s="1" t="s">
        <v>1369</v>
      </c>
      <c r="C454" s="1" t="s">
        <v>1370</v>
      </c>
      <c r="D454" s="4" t="s">
        <v>1371</v>
      </c>
      <c r="E454" s="1" t="s">
        <v>21</v>
      </c>
      <c r="F454" s="1" t="s">
        <v>13</v>
      </c>
      <c r="G454" s="1" t="str">
        <f aca="false">TEXT(A454,"YYYY-MM-DD")</f>
        <v>2024-07-26</v>
      </c>
      <c r="H454" s="1" t="str">
        <f aca="false">TEXT(A454,"HH:MM")</f>
        <v>21:20</v>
      </c>
      <c r="I454" s="0" t="str">
        <f aca="false">IFERROR(VLOOKUP(C454,threat_intelligence!A:B,2,0),"CLEAN")</f>
        <v>CLEAN</v>
      </c>
    </row>
    <row r="455" customFormat="false" ht="12.8" hidden="false" customHeight="false" outlineLevel="0" collapsed="false">
      <c r="A455" s="3" t="n">
        <v>45499.5222222222</v>
      </c>
      <c r="B455" s="1" t="s">
        <v>1372</v>
      </c>
      <c r="C455" s="1" t="s">
        <v>1373</v>
      </c>
      <c r="D455" s="4" t="s">
        <v>1374</v>
      </c>
      <c r="E455" s="1" t="s">
        <v>12</v>
      </c>
      <c r="F455" s="1" t="s">
        <v>13</v>
      </c>
      <c r="G455" s="1" t="str">
        <f aca="false">TEXT(A455,"YYYY-MM-DD")</f>
        <v>2024-07-26</v>
      </c>
      <c r="H455" s="1" t="str">
        <f aca="false">TEXT(A455,"HH:MM")</f>
        <v>12:32</v>
      </c>
      <c r="I455" s="0" t="str">
        <f aca="false">IFERROR(VLOOKUP(C455,threat_intelligence!A:B,2,0),"CLEAN")</f>
        <v>CLEAN</v>
      </c>
    </row>
    <row r="456" customFormat="false" ht="12.8" hidden="false" customHeight="false" outlineLevel="0" collapsed="false">
      <c r="A456" s="3" t="n">
        <v>45500.0875</v>
      </c>
      <c r="B456" s="1" t="s">
        <v>1375</v>
      </c>
      <c r="C456" s="1" t="s">
        <v>1376</v>
      </c>
      <c r="D456" s="4" t="s">
        <v>1377</v>
      </c>
      <c r="E456" s="1" t="s">
        <v>12</v>
      </c>
      <c r="F456" s="1" t="s">
        <v>13</v>
      </c>
      <c r="G456" s="1" t="str">
        <f aca="false">TEXT(A456,"YYYY-MM-DD")</f>
        <v>2024-07-27</v>
      </c>
      <c r="H456" s="1" t="str">
        <f aca="false">TEXT(A456,"HH:MM")</f>
        <v>02:06</v>
      </c>
      <c r="I456" s="0" t="str">
        <f aca="false">IFERROR(VLOOKUP(C456,threat_intelligence!A:B,2,0),"CLEAN")</f>
        <v>CLEAN</v>
      </c>
    </row>
    <row r="457" customFormat="false" ht="12.8" hidden="false" customHeight="false" outlineLevel="0" collapsed="false">
      <c r="A457" s="3" t="n">
        <v>45499.4618055556</v>
      </c>
      <c r="B457" s="1" t="s">
        <v>1378</v>
      </c>
      <c r="C457" s="1" t="s">
        <v>1379</v>
      </c>
      <c r="D457" s="4" t="s">
        <v>1380</v>
      </c>
      <c r="E457" s="1" t="s">
        <v>12</v>
      </c>
      <c r="F457" s="1" t="s">
        <v>25</v>
      </c>
      <c r="G457" s="1" t="str">
        <f aca="false">TEXT(A457,"YYYY-MM-DD")</f>
        <v>2024-07-26</v>
      </c>
      <c r="H457" s="1" t="str">
        <f aca="false">TEXT(A457,"HH:MM")</f>
        <v>11:05</v>
      </c>
      <c r="I457" s="0" t="str">
        <f aca="false">IFERROR(VLOOKUP(C457,threat_intelligence!A:B,2,0),"CLEAN")</f>
        <v>CLEAN</v>
      </c>
    </row>
    <row r="458" customFormat="false" ht="12.8" hidden="false" customHeight="false" outlineLevel="0" collapsed="false">
      <c r="A458" s="3" t="n">
        <v>45499.9534722222</v>
      </c>
      <c r="B458" s="1" t="s">
        <v>1381</v>
      </c>
      <c r="C458" s="1" t="s">
        <v>1382</v>
      </c>
      <c r="D458" s="4" t="s">
        <v>1383</v>
      </c>
      <c r="E458" s="1" t="s">
        <v>12</v>
      </c>
      <c r="F458" s="1" t="s">
        <v>13</v>
      </c>
      <c r="G458" s="1" t="str">
        <f aca="false">TEXT(A458,"YYYY-MM-DD")</f>
        <v>2024-07-26</v>
      </c>
      <c r="H458" s="1" t="str">
        <f aca="false">TEXT(A458,"HH:MM")</f>
        <v>22:53</v>
      </c>
      <c r="I458" s="0" t="str">
        <f aca="false">IFERROR(VLOOKUP(C458,threat_intelligence!A:B,2,0),"CLEAN")</f>
        <v>CLEAN</v>
      </c>
    </row>
    <row r="459" customFormat="false" ht="12.8" hidden="false" customHeight="false" outlineLevel="0" collapsed="false">
      <c r="A459" s="3" t="n">
        <v>45500.0805555556</v>
      </c>
      <c r="B459" s="1" t="s">
        <v>1384</v>
      </c>
      <c r="C459" s="1" t="s">
        <v>1385</v>
      </c>
      <c r="D459" s="4" t="s">
        <v>1386</v>
      </c>
      <c r="E459" s="1" t="s">
        <v>21</v>
      </c>
      <c r="F459" s="1" t="s">
        <v>13</v>
      </c>
      <c r="G459" s="1" t="str">
        <f aca="false">TEXT(A459,"YYYY-MM-DD")</f>
        <v>2024-07-27</v>
      </c>
      <c r="H459" s="1" t="str">
        <f aca="false">TEXT(A459,"HH:MM")</f>
        <v>01:56</v>
      </c>
      <c r="I459" s="0" t="str">
        <f aca="false">IFERROR(VLOOKUP(C459,threat_intelligence!A:B,2,0),"CLEAN")</f>
        <v>CLEAN</v>
      </c>
    </row>
    <row r="460" customFormat="false" ht="12.8" hidden="false" customHeight="false" outlineLevel="0" collapsed="false">
      <c r="A460" s="3" t="n">
        <v>45500.1375</v>
      </c>
      <c r="B460" s="1" t="s">
        <v>1387</v>
      </c>
      <c r="C460" s="1" t="s">
        <v>1388</v>
      </c>
      <c r="D460" s="4" t="s">
        <v>1389</v>
      </c>
      <c r="E460" s="1" t="s">
        <v>21</v>
      </c>
      <c r="F460" s="1" t="s">
        <v>13</v>
      </c>
      <c r="G460" s="1" t="str">
        <f aca="false">TEXT(A460,"YYYY-MM-DD")</f>
        <v>2024-07-27</v>
      </c>
      <c r="H460" s="1" t="str">
        <f aca="false">TEXT(A460,"HH:MM")</f>
        <v>03:18</v>
      </c>
      <c r="I460" s="0" t="str">
        <f aca="false">IFERROR(VLOOKUP(C460,threat_intelligence!A:B,2,0),"CLEAN")</f>
        <v>CLEAN</v>
      </c>
    </row>
    <row r="461" customFormat="false" ht="12.8" hidden="false" customHeight="false" outlineLevel="0" collapsed="false">
      <c r="A461" s="3" t="n">
        <v>45500.1368055556</v>
      </c>
      <c r="B461" s="1" t="s">
        <v>1390</v>
      </c>
      <c r="C461" s="1" t="s">
        <v>1391</v>
      </c>
      <c r="D461" s="4" t="s">
        <v>1392</v>
      </c>
      <c r="E461" s="1" t="s">
        <v>21</v>
      </c>
      <c r="F461" s="1" t="s">
        <v>13</v>
      </c>
      <c r="G461" s="1" t="str">
        <f aca="false">TEXT(A461,"YYYY-MM-DD")</f>
        <v>2024-07-27</v>
      </c>
      <c r="H461" s="1" t="str">
        <f aca="false">TEXT(A461,"HH:MM")</f>
        <v>03:17</v>
      </c>
      <c r="I461" s="0" t="str">
        <f aca="false">IFERROR(VLOOKUP(C461,threat_intelligence!A:B,2,0),"CLEAN")</f>
        <v>CLEAN</v>
      </c>
    </row>
    <row r="462" customFormat="false" ht="12.8" hidden="false" customHeight="false" outlineLevel="0" collapsed="false">
      <c r="A462" s="3" t="n">
        <v>45500.0972222222</v>
      </c>
      <c r="B462" s="1" t="s">
        <v>1393</v>
      </c>
      <c r="C462" s="1" t="s">
        <v>1394</v>
      </c>
      <c r="D462" s="4" t="s">
        <v>1395</v>
      </c>
      <c r="E462" s="1" t="s">
        <v>21</v>
      </c>
      <c r="F462" s="1" t="s">
        <v>13</v>
      </c>
      <c r="G462" s="1" t="str">
        <f aca="false">TEXT(A462,"YYYY-MM-DD")</f>
        <v>2024-07-27</v>
      </c>
      <c r="H462" s="1" t="str">
        <f aca="false">TEXT(A462,"HH:MM")</f>
        <v>02:20</v>
      </c>
      <c r="I462" s="0" t="str">
        <f aca="false">IFERROR(VLOOKUP(C462,threat_intelligence!A:B,2,0),"CLEAN")</f>
        <v>CLEAN</v>
      </c>
    </row>
    <row r="463" customFormat="false" ht="12.8" hidden="false" customHeight="false" outlineLevel="0" collapsed="false">
      <c r="A463" s="3" t="n">
        <v>45499.4694444445</v>
      </c>
      <c r="B463" s="1" t="s">
        <v>1396</v>
      </c>
      <c r="C463" s="1" t="s">
        <v>1397</v>
      </c>
      <c r="D463" s="4" t="s">
        <v>1398</v>
      </c>
      <c r="E463" s="1" t="s">
        <v>17</v>
      </c>
      <c r="F463" s="1" t="s">
        <v>25</v>
      </c>
      <c r="G463" s="1" t="str">
        <f aca="false">TEXT(A463,"YYYY-MM-DD")</f>
        <v>2024-07-26</v>
      </c>
      <c r="H463" s="1" t="str">
        <f aca="false">TEXT(A463,"HH:MM")</f>
        <v>11:16</v>
      </c>
      <c r="I463" s="0" t="str">
        <f aca="false">IFERROR(VLOOKUP(C463,threat_intelligence!A:B,2,0),"CLEAN")</f>
        <v>CLEAN</v>
      </c>
    </row>
    <row r="464" customFormat="false" ht="12.8" hidden="false" customHeight="false" outlineLevel="0" collapsed="false">
      <c r="A464" s="3" t="n">
        <v>45500.0041666667</v>
      </c>
      <c r="B464" s="1" t="s">
        <v>1399</v>
      </c>
      <c r="C464" s="1" t="s">
        <v>1400</v>
      </c>
      <c r="D464" s="4" t="s">
        <v>1401</v>
      </c>
      <c r="E464" s="1" t="s">
        <v>12</v>
      </c>
      <c r="F464" s="1" t="s">
        <v>25</v>
      </c>
      <c r="G464" s="1" t="str">
        <f aca="false">TEXT(A464,"YYYY-MM-DD")</f>
        <v>2024-07-27</v>
      </c>
      <c r="H464" s="1" t="str">
        <f aca="false">TEXT(A464,"HH:MM")</f>
        <v>00:06</v>
      </c>
      <c r="I464" s="0" t="str">
        <f aca="false">IFERROR(VLOOKUP(C464,threat_intelligence!A:B,2,0),"CLEAN")</f>
        <v>CLEAN</v>
      </c>
    </row>
    <row r="465" customFormat="false" ht="12.8" hidden="false" customHeight="false" outlineLevel="0" collapsed="false">
      <c r="A465" s="3" t="n">
        <v>45499.83125</v>
      </c>
      <c r="B465" s="1" t="s">
        <v>1402</v>
      </c>
      <c r="C465" s="1" t="s">
        <v>1403</v>
      </c>
      <c r="D465" s="4" t="s">
        <v>1404</v>
      </c>
      <c r="E465" s="1" t="s">
        <v>21</v>
      </c>
      <c r="F465" s="1" t="s">
        <v>13</v>
      </c>
      <c r="G465" s="1" t="str">
        <f aca="false">TEXT(A465,"YYYY-MM-DD")</f>
        <v>2024-07-26</v>
      </c>
      <c r="H465" s="1" t="str">
        <f aca="false">TEXT(A465,"HH:MM")</f>
        <v>19:57</v>
      </c>
      <c r="I465" s="0" t="str">
        <f aca="false">IFERROR(VLOOKUP(C465,threat_intelligence!A:B,2,0),"CLEAN")</f>
        <v>CLEAN</v>
      </c>
    </row>
    <row r="466" customFormat="false" ht="12.8" hidden="false" customHeight="false" outlineLevel="0" collapsed="false">
      <c r="A466" s="3" t="n">
        <v>45499.5798611111</v>
      </c>
      <c r="B466" s="1" t="s">
        <v>1405</v>
      </c>
      <c r="C466" s="1" t="s">
        <v>1406</v>
      </c>
      <c r="D466" s="4" t="s">
        <v>1407</v>
      </c>
      <c r="E466" s="1" t="s">
        <v>21</v>
      </c>
      <c r="F466" s="1" t="s">
        <v>25</v>
      </c>
      <c r="G466" s="1" t="str">
        <f aca="false">TEXT(A466,"YYYY-MM-DD")</f>
        <v>2024-07-26</v>
      </c>
      <c r="H466" s="1" t="str">
        <f aca="false">TEXT(A466,"HH:MM")</f>
        <v>13:55</v>
      </c>
      <c r="I466" s="0" t="str">
        <f aca="false">IFERROR(VLOOKUP(C466,threat_intelligence!A:B,2,0),"CLEAN")</f>
        <v>CLEAN</v>
      </c>
    </row>
    <row r="467" customFormat="false" ht="12.8" hidden="false" customHeight="false" outlineLevel="0" collapsed="false">
      <c r="A467" s="3" t="n">
        <v>45499.5</v>
      </c>
      <c r="B467" s="1" t="s">
        <v>1408</v>
      </c>
      <c r="C467" s="1" t="s">
        <v>1409</v>
      </c>
      <c r="D467" s="4" t="s">
        <v>1410</v>
      </c>
      <c r="E467" s="1" t="s">
        <v>21</v>
      </c>
      <c r="F467" s="1" t="s">
        <v>25</v>
      </c>
      <c r="G467" s="1" t="str">
        <f aca="false">TEXT(A467,"YYYY-MM-DD")</f>
        <v>2024-07-26</v>
      </c>
      <c r="H467" s="1" t="str">
        <f aca="false">TEXT(A467,"HH:MM")</f>
        <v>12:00</v>
      </c>
      <c r="I467" s="0" t="str">
        <f aca="false">IFERROR(VLOOKUP(C467,threat_intelligence!A:B,2,0),"CLEAN")</f>
        <v>CLEAN</v>
      </c>
    </row>
    <row r="468" customFormat="false" ht="12.8" hidden="false" customHeight="false" outlineLevel="0" collapsed="false">
      <c r="A468" s="3" t="n">
        <v>45499.4479166667</v>
      </c>
      <c r="B468" s="1" t="s">
        <v>1411</v>
      </c>
      <c r="C468" s="1" t="s">
        <v>1412</v>
      </c>
      <c r="D468" s="4" t="s">
        <v>1413</v>
      </c>
      <c r="E468" s="1" t="s">
        <v>12</v>
      </c>
      <c r="F468" s="1" t="s">
        <v>25</v>
      </c>
      <c r="G468" s="1" t="str">
        <f aca="false">TEXT(A468,"YYYY-MM-DD")</f>
        <v>2024-07-26</v>
      </c>
      <c r="H468" s="1" t="str">
        <f aca="false">TEXT(A468,"HH:MM")</f>
        <v>10:45</v>
      </c>
      <c r="I468" s="0" t="str">
        <f aca="false">IFERROR(VLOOKUP(C468,threat_intelligence!A:B,2,0),"CLEAN")</f>
        <v>CLEAN</v>
      </c>
    </row>
    <row r="469" customFormat="false" ht="12.8" hidden="false" customHeight="false" outlineLevel="0" collapsed="false">
      <c r="A469" s="3" t="n">
        <v>45500.1020833333</v>
      </c>
      <c r="B469" s="1" t="s">
        <v>1414</v>
      </c>
      <c r="C469" s="1" t="s">
        <v>1415</v>
      </c>
      <c r="D469" s="4" t="s">
        <v>1416</v>
      </c>
      <c r="E469" s="1" t="s">
        <v>21</v>
      </c>
      <c r="F469" s="1" t="s">
        <v>13</v>
      </c>
      <c r="G469" s="1" t="str">
        <f aca="false">TEXT(A469,"YYYY-MM-DD")</f>
        <v>2024-07-27</v>
      </c>
      <c r="H469" s="1" t="str">
        <f aca="false">TEXT(A469,"HH:MM")</f>
        <v>02:27</v>
      </c>
      <c r="I469" s="0" t="str">
        <f aca="false">IFERROR(VLOOKUP(C469,threat_intelligence!A:B,2,0),"CLEAN")</f>
        <v>CLEAN</v>
      </c>
    </row>
    <row r="470" customFormat="false" ht="12.8" hidden="false" customHeight="false" outlineLevel="0" collapsed="false">
      <c r="A470" s="3" t="n">
        <v>45500.1847222222</v>
      </c>
      <c r="B470" s="1" t="s">
        <v>1417</v>
      </c>
      <c r="C470" s="1" t="s">
        <v>1418</v>
      </c>
      <c r="D470" s="4" t="s">
        <v>1419</v>
      </c>
      <c r="E470" s="1" t="s">
        <v>12</v>
      </c>
      <c r="F470" s="1" t="s">
        <v>25</v>
      </c>
      <c r="G470" s="1" t="str">
        <f aca="false">TEXT(A470,"YYYY-MM-DD")</f>
        <v>2024-07-27</v>
      </c>
      <c r="H470" s="1" t="str">
        <f aca="false">TEXT(A470,"HH:MM")</f>
        <v>04:26</v>
      </c>
      <c r="I470" s="0" t="str">
        <f aca="false">IFERROR(VLOOKUP(C470,threat_intelligence!A:B,2,0),"CLEAN")</f>
        <v>CLEAN</v>
      </c>
    </row>
    <row r="471" customFormat="false" ht="12.8" hidden="false" customHeight="false" outlineLevel="0" collapsed="false">
      <c r="A471" s="3" t="n">
        <v>45500.2958333333</v>
      </c>
      <c r="B471" s="1" t="s">
        <v>1420</v>
      </c>
      <c r="C471" s="1" t="s">
        <v>1421</v>
      </c>
      <c r="D471" s="4" t="s">
        <v>1422</v>
      </c>
      <c r="E471" s="1" t="s">
        <v>17</v>
      </c>
      <c r="F471" s="1" t="s">
        <v>25</v>
      </c>
      <c r="G471" s="1" t="str">
        <f aca="false">TEXT(A471,"YYYY-MM-DD")</f>
        <v>2024-07-27</v>
      </c>
      <c r="H471" s="1" t="str">
        <f aca="false">TEXT(A471,"HH:MM")</f>
        <v>07:06</v>
      </c>
      <c r="I471" s="0" t="str">
        <f aca="false">IFERROR(VLOOKUP(C471,threat_intelligence!A:B,2,0),"CLEAN")</f>
        <v>CLEAN</v>
      </c>
    </row>
    <row r="472" customFormat="false" ht="12.8" hidden="false" customHeight="false" outlineLevel="0" collapsed="false">
      <c r="A472" s="3" t="n">
        <v>45499.6881944444</v>
      </c>
      <c r="B472" s="1" t="s">
        <v>1423</v>
      </c>
      <c r="C472" s="1" t="s">
        <v>1424</v>
      </c>
      <c r="D472" s="4" t="s">
        <v>1425</v>
      </c>
      <c r="E472" s="1" t="s">
        <v>17</v>
      </c>
      <c r="F472" s="1" t="s">
        <v>13</v>
      </c>
      <c r="G472" s="1" t="str">
        <f aca="false">TEXT(A472,"YYYY-MM-DD")</f>
        <v>2024-07-26</v>
      </c>
      <c r="H472" s="1" t="str">
        <f aca="false">TEXT(A472,"HH:MM")</f>
        <v>16:31</v>
      </c>
      <c r="I472" s="0" t="str">
        <f aca="false">IFERROR(VLOOKUP(C472,threat_intelligence!A:B,2,0),"CLEAN")</f>
        <v>CLEAN</v>
      </c>
    </row>
    <row r="473" customFormat="false" ht="12.8" hidden="false" customHeight="false" outlineLevel="0" collapsed="false">
      <c r="A473" s="3" t="n">
        <v>45499.8520833333</v>
      </c>
      <c r="B473" s="1" t="s">
        <v>1426</v>
      </c>
      <c r="C473" s="1" t="s">
        <v>1427</v>
      </c>
      <c r="D473" s="4" t="s">
        <v>1428</v>
      </c>
      <c r="E473" s="1" t="s">
        <v>21</v>
      </c>
      <c r="F473" s="1" t="s">
        <v>25</v>
      </c>
      <c r="G473" s="1" t="str">
        <f aca="false">TEXT(A473,"YYYY-MM-DD")</f>
        <v>2024-07-26</v>
      </c>
      <c r="H473" s="1" t="str">
        <f aca="false">TEXT(A473,"HH:MM")</f>
        <v>20:27</v>
      </c>
      <c r="I473" s="0" t="str">
        <f aca="false">IFERROR(VLOOKUP(C473,threat_intelligence!A:B,2,0),"CLEAN")</f>
        <v>CLEAN</v>
      </c>
    </row>
    <row r="474" customFormat="false" ht="12.8" hidden="false" customHeight="false" outlineLevel="0" collapsed="false">
      <c r="A474" s="3" t="n">
        <v>45500.275</v>
      </c>
      <c r="B474" s="1" t="s">
        <v>1429</v>
      </c>
      <c r="C474" s="1" t="s">
        <v>1430</v>
      </c>
      <c r="D474" s="4" t="s">
        <v>1431</v>
      </c>
      <c r="E474" s="1" t="s">
        <v>12</v>
      </c>
      <c r="F474" s="1" t="s">
        <v>13</v>
      </c>
      <c r="G474" s="1" t="str">
        <f aca="false">TEXT(A474,"YYYY-MM-DD")</f>
        <v>2024-07-27</v>
      </c>
      <c r="H474" s="1" t="str">
        <f aca="false">TEXT(A474,"HH:MM")</f>
        <v>06:36</v>
      </c>
      <c r="I474" s="0" t="str">
        <f aca="false">IFERROR(VLOOKUP(C474,threat_intelligence!A:B,2,0),"CLEAN")</f>
        <v>CLEAN</v>
      </c>
    </row>
    <row r="475" customFormat="false" ht="12.8" hidden="false" customHeight="false" outlineLevel="0" collapsed="false">
      <c r="A475" s="3" t="n">
        <v>45500.0069444444</v>
      </c>
      <c r="B475" s="1" t="s">
        <v>1432</v>
      </c>
      <c r="C475" s="1" t="s">
        <v>1433</v>
      </c>
      <c r="D475" s="4" t="s">
        <v>1434</v>
      </c>
      <c r="E475" s="1" t="s">
        <v>12</v>
      </c>
      <c r="F475" s="1" t="s">
        <v>13</v>
      </c>
      <c r="G475" s="1" t="str">
        <f aca="false">TEXT(A475,"YYYY-MM-DD")</f>
        <v>2024-07-27</v>
      </c>
      <c r="H475" s="1" t="str">
        <f aca="false">TEXT(A475,"HH:MM")</f>
        <v>00:10</v>
      </c>
      <c r="I475" s="0" t="str">
        <f aca="false">IFERROR(VLOOKUP(C475,threat_intelligence!A:B,2,0),"CLEAN")</f>
        <v>CLEAN</v>
      </c>
    </row>
    <row r="476" customFormat="false" ht="12.8" hidden="false" customHeight="false" outlineLevel="0" collapsed="false">
      <c r="A476" s="3" t="n">
        <v>45499.4840277778</v>
      </c>
      <c r="B476" s="1" t="s">
        <v>1435</v>
      </c>
      <c r="C476" s="1" t="s">
        <v>1436</v>
      </c>
      <c r="D476" s="4" t="s">
        <v>1437</v>
      </c>
      <c r="E476" s="1" t="s">
        <v>12</v>
      </c>
      <c r="F476" s="1" t="s">
        <v>13</v>
      </c>
      <c r="G476" s="1" t="str">
        <f aca="false">TEXT(A476,"YYYY-MM-DD")</f>
        <v>2024-07-26</v>
      </c>
      <c r="H476" s="1" t="str">
        <f aca="false">TEXT(A476,"HH:MM")</f>
        <v>11:37</v>
      </c>
      <c r="I476" s="0" t="str">
        <f aca="false">IFERROR(VLOOKUP(C476,threat_intelligence!A:B,2,0),"CLEAN")</f>
        <v>CLEAN</v>
      </c>
    </row>
    <row r="477" customFormat="false" ht="12.8" hidden="false" customHeight="false" outlineLevel="0" collapsed="false">
      <c r="A477" s="3" t="n">
        <v>45499.9923611111</v>
      </c>
      <c r="B477" s="1" t="s">
        <v>1438</v>
      </c>
      <c r="C477" s="1" t="s">
        <v>1439</v>
      </c>
      <c r="D477" s="4" t="s">
        <v>1440</v>
      </c>
      <c r="E477" s="1" t="s">
        <v>12</v>
      </c>
      <c r="F477" s="1" t="s">
        <v>25</v>
      </c>
      <c r="G477" s="1" t="str">
        <f aca="false">TEXT(A477,"YYYY-MM-DD")</f>
        <v>2024-07-26</v>
      </c>
      <c r="H477" s="1" t="str">
        <f aca="false">TEXT(A477,"HH:MM")</f>
        <v>23:49</v>
      </c>
      <c r="I477" s="0" t="str">
        <f aca="false">IFERROR(VLOOKUP(C477,threat_intelligence!A:B,2,0),"CLEAN")</f>
        <v>CLEAN</v>
      </c>
    </row>
    <row r="478" customFormat="false" ht="12.8" hidden="false" customHeight="false" outlineLevel="0" collapsed="false">
      <c r="A478" s="3" t="n">
        <v>45499.4173611111</v>
      </c>
      <c r="B478" s="1" t="s">
        <v>1441</v>
      </c>
      <c r="C478" s="1" t="s">
        <v>1442</v>
      </c>
      <c r="D478" s="4" t="s">
        <v>1443</v>
      </c>
      <c r="E478" s="1" t="s">
        <v>12</v>
      </c>
      <c r="F478" s="1" t="s">
        <v>13</v>
      </c>
      <c r="G478" s="1" t="str">
        <f aca="false">TEXT(A478,"YYYY-MM-DD")</f>
        <v>2024-07-26</v>
      </c>
      <c r="H478" s="1" t="str">
        <f aca="false">TEXT(A478,"HH:MM")</f>
        <v>10:01</v>
      </c>
      <c r="I478" s="0" t="str">
        <f aca="false">IFERROR(VLOOKUP(C478,threat_intelligence!A:B,2,0),"CLEAN")</f>
        <v>CLEAN</v>
      </c>
    </row>
    <row r="479" customFormat="false" ht="12.8" hidden="false" customHeight="false" outlineLevel="0" collapsed="false">
      <c r="A479" s="3" t="n">
        <v>45499.8680555556</v>
      </c>
      <c r="B479" s="1" t="s">
        <v>1444</v>
      </c>
      <c r="C479" s="1" t="s">
        <v>1445</v>
      </c>
      <c r="D479" s="4" t="s">
        <v>1446</v>
      </c>
      <c r="E479" s="1" t="s">
        <v>17</v>
      </c>
      <c r="F479" s="1" t="s">
        <v>25</v>
      </c>
      <c r="G479" s="1" t="str">
        <f aca="false">TEXT(A479,"YYYY-MM-DD")</f>
        <v>2024-07-26</v>
      </c>
      <c r="H479" s="1" t="str">
        <f aca="false">TEXT(A479,"HH:MM")</f>
        <v>20:50</v>
      </c>
      <c r="I479" s="0" t="str">
        <f aca="false">IFERROR(VLOOKUP(C479,threat_intelligence!A:B,2,0),"CLEAN")</f>
        <v>CLEAN</v>
      </c>
    </row>
    <row r="480" customFormat="false" ht="12.8" hidden="false" customHeight="false" outlineLevel="0" collapsed="false">
      <c r="A480" s="3" t="n">
        <v>45500.2972222222</v>
      </c>
      <c r="B480" s="1" t="s">
        <v>1447</v>
      </c>
      <c r="C480" s="1" t="s">
        <v>1448</v>
      </c>
      <c r="D480" s="4" t="s">
        <v>1449</v>
      </c>
      <c r="E480" s="1" t="s">
        <v>21</v>
      </c>
      <c r="F480" s="1" t="s">
        <v>25</v>
      </c>
      <c r="G480" s="1" t="str">
        <f aca="false">TEXT(A480,"YYYY-MM-DD")</f>
        <v>2024-07-27</v>
      </c>
      <c r="H480" s="1" t="str">
        <f aca="false">TEXT(A480,"HH:MM")</f>
        <v>07:08</v>
      </c>
      <c r="I480" s="0" t="str">
        <f aca="false">IFERROR(VLOOKUP(C480,threat_intelligence!A:B,2,0),"CLEAN")</f>
        <v>CLEAN</v>
      </c>
    </row>
    <row r="481" customFormat="false" ht="12.8" hidden="false" customHeight="false" outlineLevel="0" collapsed="false">
      <c r="A481" s="3" t="n">
        <v>45499.8013888889</v>
      </c>
      <c r="B481" s="1" t="s">
        <v>1450</v>
      </c>
      <c r="C481" s="1" t="s">
        <v>1451</v>
      </c>
      <c r="D481" s="4" t="s">
        <v>1452</v>
      </c>
      <c r="E481" s="1" t="s">
        <v>12</v>
      </c>
      <c r="F481" s="1" t="s">
        <v>13</v>
      </c>
      <c r="G481" s="1" t="str">
        <f aca="false">TEXT(A481,"YYYY-MM-DD")</f>
        <v>2024-07-26</v>
      </c>
      <c r="H481" s="1" t="str">
        <f aca="false">TEXT(A481,"HH:MM")</f>
        <v>19:14</v>
      </c>
      <c r="I481" s="0" t="str">
        <f aca="false">IFERROR(VLOOKUP(C481,threat_intelligence!A:B,2,0),"CLEAN")</f>
        <v>CLEAN</v>
      </c>
    </row>
    <row r="482" customFormat="false" ht="12.8" hidden="false" customHeight="false" outlineLevel="0" collapsed="false">
      <c r="A482" s="3" t="n">
        <v>45499.6645833333</v>
      </c>
      <c r="B482" s="1" t="s">
        <v>1453</v>
      </c>
      <c r="C482" s="1" t="s">
        <v>1454</v>
      </c>
      <c r="D482" s="4" t="s">
        <v>1455</v>
      </c>
      <c r="E482" s="1" t="s">
        <v>12</v>
      </c>
      <c r="F482" s="1" t="s">
        <v>13</v>
      </c>
      <c r="G482" s="1" t="str">
        <f aca="false">TEXT(A482,"YYYY-MM-DD")</f>
        <v>2024-07-26</v>
      </c>
      <c r="H482" s="1" t="str">
        <f aca="false">TEXT(A482,"HH:MM")</f>
        <v>15:57</v>
      </c>
      <c r="I482" s="0" t="str">
        <f aca="false">IFERROR(VLOOKUP(C482,threat_intelligence!A:B,2,0),"CLEAN")</f>
        <v>CLEAN</v>
      </c>
    </row>
    <row r="483" customFormat="false" ht="12.8" hidden="false" customHeight="false" outlineLevel="0" collapsed="false">
      <c r="A483" s="3" t="n">
        <v>45499.6215277778</v>
      </c>
      <c r="B483" s="1" t="s">
        <v>1456</v>
      </c>
      <c r="C483" s="1" t="s">
        <v>1457</v>
      </c>
      <c r="D483" s="4" t="s">
        <v>1458</v>
      </c>
      <c r="E483" s="1" t="s">
        <v>21</v>
      </c>
      <c r="F483" s="1" t="s">
        <v>25</v>
      </c>
      <c r="G483" s="1" t="str">
        <f aca="false">TEXT(A483,"YYYY-MM-DD")</f>
        <v>2024-07-26</v>
      </c>
      <c r="H483" s="1" t="str">
        <f aca="false">TEXT(A483,"HH:MM")</f>
        <v>14:55</v>
      </c>
      <c r="I483" s="0" t="str">
        <f aca="false">IFERROR(VLOOKUP(C483,threat_intelligence!A:B,2,0),"CLEAN")</f>
        <v>CLEAN</v>
      </c>
    </row>
    <row r="484" customFormat="false" ht="12.8" hidden="false" customHeight="false" outlineLevel="0" collapsed="false">
      <c r="A484" s="3" t="n">
        <v>45500.2659722222</v>
      </c>
      <c r="B484" s="1" t="s">
        <v>1459</v>
      </c>
      <c r="C484" s="1" t="s">
        <v>1460</v>
      </c>
      <c r="D484" s="4" t="s">
        <v>319</v>
      </c>
      <c r="E484" s="1" t="s">
        <v>21</v>
      </c>
      <c r="F484" s="1" t="s">
        <v>13</v>
      </c>
      <c r="G484" s="1" t="str">
        <f aca="false">TEXT(A484,"YYYY-MM-DD")</f>
        <v>2024-07-27</v>
      </c>
      <c r="H484" s="1" t="str">
        <f aca="false">TEXT(A484,"HH:MM")</f>
        <v>06:23</v>
      </c>
      <c r="I484" s="0" t="str">
        <f aca="false">IFERROR(VLOOKUP(C484,threat_intelligence!A:B,2,0),"CLEAN")</f>
        <v>CLEAN</v>
      </c>
    </row>
    <row r="485" customFormat="false" ht="12.8" hidden="false" customHeight="false" outlineLevel="0" collapsed="false">
      <c r="A485" s="3" t="n">
        <v>45500.0104166667</v>
      </c>
      <c r="B485" s="1" t="s">
        <v>1461</v>
      </c>
      <c r="C485" s="1" t="s">
        <v>1462</v>
      </c>
      <c r="D485" s="4" t="s">
        <v>1463</v>
      </c>
      <c r="E485" s="1" t="s">
        <v>12</v>
      </c>
      <c r="F485" s="1" t="s">
        <v>13</v>
      </c>
      <c r="G485" s="1" t="str">
        <f aca="false">TEXT(A485,"YYYY-MM-DD")</f>
        <v>2024-07-27</v>
      </c>
      <c r="H485" s="1" t="str">
        <f aca="false">TEXT(A485,"HH:MM")</f>
        <v>00:15</v>
      </c>
      <c r="I485" s="0" t="str">
        <f aca="false">IFERROR(VLOOKUP(C485,threat_intelligence!A:B,2,0),"CLEAN")</f>
        <v>CLEAN</v>
      </c>
    </row>
    <row r="486" customFormat="false" ht="12.8" hidden="false" customHeight="false" outlineLevel="0" collapsed="false">
      <c r="A486" s="3" t="n">
        <v>45499.9881944445</v>
      </c>
      <c r="B486" s="1" t="s">
        <v>1464</v>
      </c>
      <c r="C486" s="1" t="s">
        <v>1465</v>
      </c>
      <c r="D486" s="4" t="s">
        <v>1466</v>
      </c>
      <c r="E486" s="1" t="s">
        <v>12</v>
      </c>
      <c r="F486" s="1" t="s">
        <v>25</v>
      </c>
      <c r="G486" s="1" t="str">
        <f aca="false">TEXT(A486,"YYYY-MM-DD")</f>
        <v>2024-07-26</v>
      </c>
      <c r="H486" s="1" t="str">
        <f aca="false">TEXT(A486,"HH:MM")</f>
        <v>23:43</v>
      </c>
      <c r="I486" s="0" t="str">
        <f aca="false">IFERROR(VLOOKUP(C486,threat_intelligence!A:B,2,0),"CLEAN")</f>
        <v>CLEAN</v>
      </c>
    </row>
    <row r="487" customFormat="false" ht="12.8" hidden="false" customHeight="false" outlineLevel="0" collapsed="false">
      <c r="A487" s="3" t="n">
        <v>45499.8763888889</v>
      </c>
      <c r="B487" s="1" t="s">
        <v>1467</v>
      </c>
      <c r="C487" s="1" t="s">
        <v>1468</v>
      </c>
      <c r="D487" s="4" t="s">
        <v>1469</v>
      </c>
      <c r="E487" s="1" t="s">
        <v>21</v>
      </c>
      <c r="F487" s="1" t="s">
        <v>25</v>
      </c>
      <c r="G487" s="1" t="str">
        <f aca="false">TEXT(A487,"YYYY-MM-DD")</f>
        <v>2024-07-26</v>
      </c>
      <c r="H487" s="1" t="str">
        <f aca="false">TEXT(A487,"HH:MM")</f>
        <v>21:02</v>
      </c>
      <c r="I487" s="0" t="str">
        <f aca="false">IFERROR(VLOOKUP(C487,threat_intelligence!A:B,2,0),"CLEAN")</f>
        <v>CLEAN</v>
      </c>
    </row>
    <row r="488" customFormat="false" ht="12.8" hidden="false" customHeight="false" outlineLevel="0" collapsed="false">
      <c r="A488" s="3" t="n">
        <v>45499.7027777778</v>
      </c>
      <c r="B488" s="1" t="s">
        <v>1470</v>
      </c>
      <c r="C488" s="1" t="s">
        <v>1471</v>
      </c>
      <c r="D488" s="4" t="s">
        <v>1472</v>
      </c>
      <c r="E488" s="1" t="s">
        <v>21</v>
      </c>
      <c r="F488" s="1" t="s">
        <v>25</v>
      </c>
      <c r="G488" s="1" t="str">
        <f aca="false">TEXT(A488,"YYYY-MM-DD")</f>
        <v>2024-07-26</v>
      </c>
      <c r="H488" s="1" t="str">
        <f aca="false">TEXT(A488,"HH:MM")</f>
        <v>16:52</v>
      </c>
      <c r="I488" s="0" t="str">
        <f aca="false">IFERROR(VLOOKUP(C488,threat_intelligence!A:B,2,0),"CLEAN")</f>
        <v>CLEAN</v>
      </c>
    </row>
    <row r="489" customFormat="false" ht="12.8" hidden="false" customHeight="false" outlineLevel="0" collapsed="false">
      <c r="A489" s="3" t="n">
        <v>45499.5291666667</v>
      </c>
      <c r="B489" s="1" t="s">
        <v>1473</v>
      </c>
      <c r="C489" s="1" t="s">
        <v>1474</v>
      </c>
      <c r="D489" s="4" t="s">
        <v>1475</v>
      </c>
      <c r="E489" s="1" t="s">
        <v>17</v>
      </c>
      <c r="F489" s="1" t="s">
        <v>13</v>
      </c>
      <c r="G489" s="1" t="str">
        <f aca="false">TEXT(A489,"YYYY-MM-DD")</f>
        <v>2024-07-26</v>
      </c>
      <c r="H489" s="1" t="str">
        <f aca="false">TEXT(A489,"HH:MM")</f>
        <v>12:42</v>
      </c>
      <c r="I489" s="0" t="str">
        <f aca="false">IFERROR(VLOOKUP(C489,threat_intelligence!A:B,2,0),"CLEAN")</f>
        <v>CLEAN</v>
      </c>
    </row>
    <row r="490" customFormat="false" ht="12.8" hidden="false" customHeight="false" outlineLevel="0" collapsed="false">
      <c r="A490" s="3" t="n">
        <v>45499.8166666667</v>
      </c>
      <c r="B490" s="1" t="s">
        <v>1476</v>
      </c>
      <c r="C490" s="1" t="s">
        <v>1477</v>
      </c>
      <c r="D490" s="4" t="s">
        <v>1478</v>
      </c>
      <c r="E490" s="1" t="s">
        <v>12</v>
      </c>
      <c r="F490" s="1" t="s">
        <v>13</v>
      </c>
      <c r="G490" s="1" t="str">
        <f aca="false">TEXT(A490,"YYYY-MM-DD")</f>
        <v>2024-07-26</v>
      </c>
      <c r="H490" s="1" t="str">
        <f aca="false">TEXT(A490,"HH:MM")</f>
        <v>19:36</v>
      </c>
      <c r="I490" s="0" t="str">
        <f aca="false">IFERROR(VLOOKUP(C490,threat_intelligence!A:B,2,0),"CLEAN")</f>
        <v>CLEAN</v>
      </c>
    </row>
    <row r="491" customFormat="false" ht="12.8" hidden="false" customHeight="false" outlineLevel="0" collapsed="false">
      <c r="A491" s="3" t="n">
        <v>45499.6083333333</v>
      </c>
      <c r="B491" s="1" t="s">
        <v>1479</v>
      </c>
      <c r="C491" s="1" t="s">
        <v>1480</v>
      </c>
      <c r="D491" s="4" t="s">
        <v>1481</v>
      </c>
      <c r="E491" s="1" t="s">
        <v>17</v>
      </c>
      <c r="F491" s="1" t="s">
        <v>25</v>
      </c>
      <c r="G491" s="1" t="str">
        <f aca="false">TEXT(A491,"YYYY-MM-DD")</f>
        <v>2024-07-26</v>
      </c>
      <c r="H491" s="1" t="str">
        <f aca="false">TEXT(A491,"HH:MM")</f>
        <v>14:36</v>
      </c>
      <c r="I491" s="0" t="str">
        <f aca="false">IFERROR(VLOOKUP(C491,threat_intelligence!A:B,2,0),"CLEAN")</f>
        <v>CLEAN</v>
      </c>
    </row>
    <row r="492" customFormat="false" ht="12.8" hidden="false" customHeight="false" outlineLevel="0" collapsed="false">
      <c r="A492" s="3" t="n">
        <v>45500.1638888889</v>
      </c>
      <c r="B492" s="1" t="s">
        <v>1482</v>
      </c>
      <c r="C492" s="1" t="s">
        <v>1483</v>
      </c>
      <c r="D492" s="4" t="s">
        <v>1484</v>
      </c>
      <c r="E492" s="1" t="s">
        <v>12</v>
      </c>
      <c r="F492" s="1" t="s">
        <v>13</v>
      </c>
      <c r="G492" s="1" t="str">
        <f aca="false">TEXT(A492,"YYYY-MM-DD")</f>
        <v>2024-07-27</v>
      </c>
      <c r="H492" s="1" t="str">
        <f aca="false">TEXT(A492,"HH:MM")</f>
        <v>03:56</v>
      </c>
      <c r="I492" s="0" t="str">
        <f aca="false">IFERROR(VLOOKUP(C492,threat_intelligence!A:B,2,0),"CLEAN")</f>
        <v>CLEAN</v>
      </c>
    </row>
    <row r="493" customFormat="false" ht="12.8" hidden="false" customHeight="false" outlineLevel="0" collapsed="false">
      <c r="A493" s="3" t="n">
        <v>45499.8194444444</v>
      </c>
      <c r="B493" s="1" t="s">
        <v>1485</v>
      </c>
      <c r="C493" s="1" t="s">
        <v>1486</v>
      </c>
      <c r="D493" s="4" t="s">
        <v>1487</v>
      </c>
      <c r="E493" s="1" t="s">
        <v>12</v>
      </c>
      <c r="F493" s="1" t="s">
        <v>13</v>
      </c>
      <c r="G493" s="1" t="str">
        <f aca="false">TEXT(A493,"YYYY-MM-DD")</f>
        <v>2024-07-26</v>
      </c>
      <c r="H493" s="1" t="str">
        <f aca="false">TEXT(A493,"HH:MM")</f>
        <v>19:40</v>
      </c>
      <c r="I493" s="0" t="str">
        <f aca="false">IFERROR(VLOOKUP(C493,threat_intelligence!A:B,2,0),"CLEAN")</f>
        <v>CLEAN</v>
      </c>
    </row>
    <row r="494" customFormat="false" ht="12.8" hidden="false" customHeight="false" outlineLevel="0" collapsed="false">
      <c r="A494" s="3" t="n">
        <v>45499.7902777778</v>
      </c>
      <c r="B494" s="1" t="s">
        <v>1488</v>
      </c>
      <c r="C494" s="1" t="s">
        <v>1489</v>
      </c>
      <c r="D494" s="4" t="s">
        <v>1490</v>
      </c>
      <c r="E494" s="1" t="s">
        <v>12</v>
      </c>
      <c r="F494" s="1" t="s">
        <v>25</v>
      </c>
      <c r="G494" s="1" t="str">
        <f aca="false">TEXT(A494,"YYYY-MM-DD")</f>
        <v>2024-07-26</v>
      </c>
      <c r="H494" s="1" t="str">
        <f aca="false">TEXT(A494,"HH:MM")</f>
        <v>18:58</v>
      </c>
      <c r="I494" s="0" t="str">
        <f aca="false">IFERROR(VLOOKUP(C494,threat_intelligence!A:B,2,0),"CLEAN")</f>
        <v>CLEAN</v>
      </c>
    </row>
    <row r="495" customFormat="false" ht="12.8" hidden="false" customHeight="false" outlineLevel="0" collapsed="false">
      <c r="A495" s="3" t="n">
        <v>45499.3729166667</v>
      </c>
      <c r="B495" s="1" t="s">
        <v>1491</v>
      </c>
      <c r="C495" s="1" t="s">
        <v>1492</v>
      </c>
      <c r="D495" s="4" t="s">
        <v>1493</v>
      </c>
      <c r="E495" s="1" t="s">
        <v>17</v>
      </c>
      <c r="F495" s="1" t="s">
        <v>13</v>
      </c>
      <c r="G495" s="1" t="str">
        <f aca="false">TEXT(A495,"YYYY-MM-DD")</f>
        <v>2024-07-26</v>
      </c>
      <c r="H495" s="1" t="str">
        <f aca="false">TEXT(A495,"HH:MM")</f>
        <v>08:57</v>
      </c>
      <c r="I495" s="0" t="str">
        <f aca="false">IFERROR(VLOOKUP(C495,threat_intelligence!A:B,2,0),"CLEAN")</f>
        <v>CLEAN</v>
      </c>
    </row>
    <row r="496" customFormat="false" ht="12.8" hidden="false" customHeight="false" outlineLevel="0" collapsed="false">
      <c r="A496" s="3" t="n">
        <v>45500.1805555556</v>
      </c>
      <c r="B496" s="1" t="s">
        <v>1494</v>
      </c>
      <c r="C496" s="1" t="s">
        <v>1495</v>
      </c>
      <c r="D496" s="4" t="s">
        <v>1496</v>
      </c>
      <c r="E496" s="1" t="s">
        <v>12</v>
      </c>
      <c r="F496" s="1" t="s">
        <v>25</v>
      </c>
      <c r="G496" s="1" t="str">
        <f aca="false">TEXT(A496,"YYYY-MM-DD")</f>
        <v>2024-07-27</v>
      </c>
      <c r="H496" s="1" t="str">
        <f aca="false">TEXT(A496,"HH:MM")</f>
        <v>04:20</v>
      </c>
      <c r="I496" s="0" t="str">
        <f aca="false">IFERROR(VLOOKUP(C496,threat_intelligence!A:B,2,0),"CLEAN")</f>
        <v>CLEAN</v>
      </c>
    </row>
    <row r="497" customFormat="false" ht="12.8" hidden="false" customHeight="false" outlineLevel="0" collapsed="false">
      <c r="A497" s="3" t="n">
        <v>45499.5569444444</v>
      </c>
      <c r="B497" s="1" t="s">
        <v>1497</v>
      </c>
      <c r="C497" s="1" t="s">
        <v>1498</v>
      </c>
      <c r="D497" s="4" t="s">
        <v>1499</v>
      </c>
      <c r="E497" s="1" t="s">
        <v>12</v>
      </c>
      <c r="F497" s="1" t="s">
        <v>13</v>
      </c>
      <c r="G497" s="1" t="str">
        <f aca="false">TEXT(A497,"YYYY-MM-DD")</f>
        <v>2024-07-26</v>
      </c>
      <c r="H497" s="1" t="str">
        <f aca="false">TEXT(A497,"HH:MM")</f>
        <v>13:22</v>
      </c>
      <c r="I497" s="0" t="str">
        <f aca="false">IFERROR(VLOOKUP(C497,threat_intelligence!A:B,2,0),"CLEAN")</f>
        <v>CLEAN</v>
      </c>
    </row>
    <row r="498" customFormat="false" ht="12.8" hidden="false" customHeight="false" outlineLevel="0" collapsed="false">
      <c r="A498" s="3" t="n">
        <v>45499.7840277778</v>
      </c>
      <c r="B498" s="1" t="s">
        <v>1500</v>
      </c>
      <c r="C498" s="1" t="s">
        <v>1501</v>
      </c>
      <c r="D498" s="4" t="s">
        <v>1502</v>
      </c>
      <c r="E498" s="1" t="s">
        <v>21</v>
      </c>
      <c r="F498" s="1" t="s">
        <v>25</v>
      </c>
      <c r="G498" s="1" t="str">
        <f aca="false">TEXT(A498,"YYYY-MM-DD")</f>
        <v>2024-07-26</v>
      </c>
      <c r="H498" s="1" t="str">
        <f aca="false">TEXT(A498,"HH:MM")</f>
        <v>18:49</v>
      </c>
      <c r="I498" s="0" t="str">
        <f aca="false">IFERROR(VLOOKUP(C498,threat_intelligence!A:B,2,0),"CLEAN")</f>
        <v>CLEAN</v>
      </c>
    </row>
    <row r="499" customFormat="false" ht="12.8" hidden="false" customHeight="false" outlineLevel="0" collapsed="false">
      <c r="A499" s="3" t="n">
        <v>45499.4229166667</v>
      </c>
      <c r="B499" s="1" t="s">
        <v>1503</v>
      </c>
      <c r="C499" s="1" t="s">
        <v>1504</v>
      </c>
      <c r="D499" s="4" t="s">
        <v>1505</v>
      </c>
      <c r="E499" s="1" t="s">
        <v>21</v>
      </c>
      <c r="F499" s="1" t="s">
        <v>13</v>
      </c>
      <c r="G499" s="1" t="str">
        <f aca="false">TEXT(A499,"YYYY-MM-DD")</f>
        <v>2024-07-26</v>
      </c>
      <c r="H499" s="1" t="str">
        <f aca="false">TEXT(A499,"HH:MM")</f>
        <v>10:09</v>
      </c>
      <c r="I499" s="0" t="str">
        <f aca="false">IFERROR(VLOOKUP(C499,threat_intelligence!A:B,2,0),"CLEAN")</f>
        <v>CLEAN</v>
      </c>
    </row>
    <row r="500" customFormat="false" ht="12.8" hidden="false" customHeight="false" outlineLevel="0" collapsed="false">
      <c r="A500" s="3" t="n">
        <v>45500.2083333333</v>
      </c>
      <c r="B500" s="1" t="s">
        <v>1506</v>
      </c>
      <c r="C500" s="1" t="s">
        <v>1507</v>
      </c>
      <c r="D500" s="4" t="s">
        <v>1508</v>
      </c>
      <c r="E500" s="1" t="s">
        <v>17</v>
      </c>
      <c r="F500" s="1" t="s">
        <v>13</v>
      </c>
      <c r="G500" s="1" t="str">
        <f aca="false">TEXT(A500,"YYYY-MM-DD")</f>
        <v>2024-07-27</v>
      </c>
      <c r="H500" s="1" t="str">
        <f aca="false">TEXT(A500,"HH:MM")</f>
        <v>05:00</v>
      </c>
      <c r="I500" s="0" t="str">
        <f aca="false">IFERROR(VLOOKUP(C500,threat_intelligence!A:B,2,0),"CLEAN")</f>
        <v>CLEAN</v>
      </c>
    </row>
    <row r="501" customFormat="false" ht="12.8" hidden="false" customHeight="false" outlineLevel="0" collapsed="false">
      <c r="A501" s="3" t="n">
        <v>45500.25625</v>
      </c>
      <c r="B501" s="1" t="s">
        <v>1509</v>
      </c>
      <c r="C501" s="1" t="s">
        <v>1510</v>
      </c>
      <c r="D501" s="4" t="s">
        <v>1511</v>
      </c>
      <c r="E501" s="1" t="s">
        <v>12</v>
      </c>
      <c r="F501" s="1" t="s">
        <v>25</v>
      </c>
      <c r="G501" s="1" t="str">
        <f aca="false">TEXT(A501,"YYYY-MM-DD")</f>
        <v>2024-07-27</v>
      </c>
      <c r="H501" s="1" t="str">
        <f aca="false">TEXT(A501,"HH:MM")</f>
        <v>06:09</v>
      </c>
      <c r="I501" s="0" t="str">
        <f aca="false">IFERROR(VLOOKUP(C501,threat_intelligence!A:B,2,0),"CLEAN")</f>
        <v>CLEAN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32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4" topLeftCell="A5" activePane="bottomLeft" state="frozen"/>
      <selection pane="topLeft" activeCell="A1" activeCellId="0" sqref="A1"/>
      <selection pane="bottomLeft" activeCell="A2" activeCellId="0" sqref="A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6.09"/>
  </cols>
  <sheetData>
    <row r="1" customFormat="false" ht="12.8" hidden="false" customHeight="false" outlineLevel="0" collapsed="false">
      <c r="A1" s="5" t="s">
        <v>4</v>
      </c>
      <c r="B1" s="6" t="s">
        <v>1512</v>
      </c>
    </row>
    <row r="2" customFormat="false" ht="12.8" hidden="false" customHeight="true" outlineLevel="0" collapsed="false">
      <c r="A2" s="0"/>
    </row>
    <row r="3" customFormat="false" ht="12.8" hidden="false" customHeight="false" outlineLevel="0" collapsed="false">
      <c r="A3" s="7" t="s">
        <v>1513</v>
      </c>
      <c r="B3" s="8" t="s">
        <v>5</v>
      </c>
      <c r="C3" s="9"/>
      <c r="D3" s="10"/>
    </row>
    <row r="4" customFormat="false" ht="12.8" hidden="false" customHeight="false" outlineLevel="0" collapsed="false">
      <c r="A4" s="11" t="s">
        <v>6</v>
      </c>
      <c r="B4" s="12" t="s">
        <v>25</v>
      </c>
      <c r="C4" s="13" t="s">
        <v>13</v>
      </c>
      <c r="D4" s="14" t="s">
        <v>1514</v>
      </c>
    </row>
    <row r="5" customFormat="false" ht="12.8" hidden="false" customHeight="false" outlineLevel="0" collapsed="false">
      <c r="A5" s="15" t="s">
        <v>1515</v>
      </c>
      <c r="B5" s="16" t="n">
        <v>159</v>
      </c>
      <c r="C5" s="17" t="n">
        <v>180</v>
      </c>
      <c r="D5" s="18" t="n">
        <v>339</v>
      </c>
    </row>
    <row r="6" customFormat="false" ht="12.8" hidden="false" customHeight="false" outlineLevel="0" collapsed="false">
      <c r="A6" s="19" t="s">
        <v>1516</v>
      </c>
      <c r="B6" s="20" t="n">
        <v>79</v>
      </c>
      <c r="C6" s="21" t="n">
        <v>82</v>
      </c>
      <c r="D6" s="22" t="n">
        <v>161</v>
      </c>
    </row>
    <row r="7" customFormat="false" ht="12.8" hidden="false" customHeight="false" outlineLevel="0" collapsed="false">
      <c r="A7" s="23" t="s">
        <v>1514</v>
      </c>
      <c r="B7" s="24" t="n">
        <v>238</v>
      </c>
      <c r="C7" s="25" t="n">
        <v>262</v>
      </c>
      <c r="D7" s="26" t="n">
        <v>500</v>
      </c>
    </row>
    <row r="8" customFormat="false" ht="12.8" hidden="false" customHeight="false" outlineLevel="0" collapsed="false">
      <c r="A8" s="0"/>
    </row>
    <row r="9" customFormat="false" ht="12.8" hidden="false" customHeight="false" outlineLevel="0" collapsed="false">
      <c r="A9" s="0"/>
    </row>
    <row r="10" customFormat="false" ht="12.8" hidden="false" customHeight="false" outlineLevel="0" collapsed="false">
      <c r="A10" s="0"/>
    </row>
    <row r="11" customFormat="false" ht="12.8" hidden="false" customHeight="false" outlineLevel="0" collapsed="false">
      <c r="A11" s="0"/>
    </row>
    <row r="12" customFormat="false" ht="12.8" hidden="false" customHeight="false" outlineLevel="0" collapsed="false">
      <c r="A12" s="0"/>
    </row>
    <row r="13" customFormat="false" ht="12.8" hidden="false" customHeight="false" outlineLevel="0" collapsed="false">
      <c r="A13" s="0"/>
    </row>
    <row r="14" customFormat="false" ht="12.8" hidden="false" customHeight="false" outlineLevel="0" collapsed="false">
      <c r="A14" s="0"/>
    </row>
    <row r="15" customFormat="false" ht="12.8" hidden="false" customHeight="false" outlineLevel="0" collapsed="false">
      <c r="A15" s="0"/>
    </row>
    <row r="16" customFormat="false" ht="12.8" hidden="false" customHeight="false" outlineLevel="0" collapsed="false">
      <c r="A16" s="0"/>
    </row>
    <row r="17" customFormat="false" ht="12.8" hidden="false" customHeight="false" outlineLevel="0" collapsed="false">
      <c r="A17" s="0"/>
    </row>
    <row r="18" customFormat="false" ht="12.8" hidden="false" customHeight="false" outlineLevel="0" collapsed="false">
      <c r="A18" s="0"/>
    </row>
    <row r="19" customFormat="false" ht="12.8" hidden="false" customHeight="false" outlineLevel="0" collapsed="false">
      <c r="A19" s="0"/>
    </row>
    <row r="20" customFormat="false" ht="12.8" hidden="false" customHeight="false" outlineLevel="0" collapsed="false">
      <c r="A20" s="0"/>
    </row>
    <row r="21" customFormat="false" ht="12.8" hidden="false" customHeight="false" outlineLevel="0" collapsed="false">
      <c r="A21" s="0"/>
    </row>
    <row r="22" customFormat="false" ht="12.8" hidden="false" customHeight="false" outlineLevel="0" collapsed="false">
      <c r="A22" s="0"/>
    </row>
    <row r="23" customFormat="false" ht="12.8" hidden="false" customHeight="false" outlineLevel="0" collapsed="false">
      <c r="A23" s="0"/>
    </row>
    <row r="24" customFormat="false" ht="12.8" hidden="false" customHeight="false" outlineLevel="0" collapsed="false">
      <c r="A24" s="0"/>
    </row>
    <row r="25" customFormat="false" ht="12.8" hidden="false" customHeight="false" outlineLevel="0" collapsed="false">
      <c r="A25" s="0"/>
    </row>
    <row r="26" customFormat="false" ht="12.8" hidden="false" customHeight="false" outlineLevel="0" collapsed="false">
      <c r="A26" s="0"/>
    </row>
    <row r="27" customFormat="false" ht="12.8" hidden="false" customHeight="false" outlineLevel="0" collapsed="false">
      <c r="A27" s="0"/>
    </row>
    <row r="28" customFormat="false" ht="12.8" hidden="false" customHeight="false" outlineLevel="0" collapsed="false">
      <c r="A28" s="0"/>
    </row>
    <row r="29" customFormat="false" ht="12.8" hidden="false" customHeight="false" outlineLevel="0" collapsed="false">
      <c r="A29" s="0"/>
    </row>
    <row r="30" customFormat="false" ht="12.8" hidden="false" customHeight="false" outlineLevel="0" collapsed="false">
      <c r="A30" s="0"/>
    </row>
    <row r="31" customFormat="false" ht="12.8" hidden="false" customHeight="false" outlineLevel="0" collapsed="false">
      <c r="A31" s="0"/>
    </row>
    <row r="32" customFormat="false" ht="12.8" hidden="false" customHeight="false" outlineLevel="0" collapsed="false">
      <c r="A32" s="0"/>
    </row>
    <row r="33" customFormat="false" ht="12.8" hidden="false" customHeight="false" outlineLevel="0" collapsed="false">
      <c r="A33" s="0"/>
    </row>
    <row r="34" customFormat="false" ht="12.8" hidden="false" customHeight="false" outlineLevel="0" collapsed="false">
      <c r="A34" s="0"/>
    </row>
    <row r="35" customFormat="false" ht="12.8" hidden="false" customHeight="false" outlineLevel="0" collapsed="false">
      <c r="A35" s="0"/>
    </row>
    <row r="36" customFormat="false" ht="12.8" hidden="false" customHeight="false" outlineLevel="0" collapsed="false">
      <c r="A36" s="0"/>
    </row>
    <row r="37" customFormat="false" ht="12.8" hidden="false" customHeight="false" outlineLevel="0" collapsed="false">
      <c r="A37" s="0"/>
    </row>
    <row r="38" customFormat="false" ht="12.8" hidden="false" customHeight="false" outlineLevel="0" collapsed="false">
      <c r="A38" s="0"/>
    </row>
    <row r="39" customFormat="false" ht="12.8" hidden="false" customHeight="false" outlineLevel="0" collapsed="false">
      <c r="A39" s="0"/>
    </row>
    <row r="40" customFormat="false" ht="12.8" hidden="false" customHeight="false" outlineLevel="0" collapsed="false">
      <c r="A40" s="0"/>
    </row>
    <row r="41" customFormat="false" ht="12.8" hidden="false" customHeight="false" outlineLevel="0" collapsed="false">
      <c r="A41" s="0"/>
    </row>
    <row r="42" customFormat="false" ht="12.8" hidden="false" customHeight="false" outlineLevel="0" collapsed="false">
      <c r="A42" s="0"/>
    </row>
    <row r="43" customFormat="false" ht="12.8" hidden="false" customHeight="false" outlineLevel="0" collapsed="false">
      <c r="A43" s="0"/>
    </row>
    <row r="44" customFormat="false" ht="12.8" hidden="false" customHeight="false" outlineLevel="0" collapsed="false">
      <c r="A44" s="0"/>
    </row>
    <row r="45" customFormat="false" ht="12.8" hidden="false" customHeight="false" outlineLevel="0" collapsed="false">
      <c r="A45" s="0"/>
    </row>
    <row r="46" customFormat="false" ht="12.8" hidden="false" customHeight="false" outlineLevel="0" collapsed="false">
      <c r="A46" s="0"/>
    </row>
    <row r="47" customFormat="false" ht="12.8" hidden="false" customHeight="false" outlineLevel="0" collapsed="false">
      <c r="A47" s="0"/>
    </row>
    <row r="48" customFormat="false" ht="12.8" hidden="false" customHeight="false" outlineLevel="0" collapsed="false">
      <c r="A48" s="0"/>
    </row>
    <row r="49" customFormat="false" ht="12.8" hidden="false" customHeight="false" outlineLevel="0" collapsed="false">
      <c r="A49" s="0"/>
    </row>
    <row r="50" customFormat="false" ht="12.8" hidden="false" customHeight="false" outlineLevel="0" collapsed="false">
      <c r="A50" s="0"/>
    </row>
    <row r="51" customFormat="false" ht="12.8" hidden="false" customHeight="false" outlineLevel="0" collapsed="false">
      <c r="A51" s="0"/>
    </row>
    <row r="52" customFormat="false" ht="12.8" hidden="false" customHeight="false" outlineLevel="0" collapsed="false">
      <c r="A52" s="0"/>
    </row>
    <row r="53" customFormat="false" ht="12.8" hidden="false" customHeight="false" outlineLevel="0" collapsed="false">
      <c r="A53" s="0"/>
    </row>
    <row r="54" customFormat="false" ht="12.8" hidden="false" customHeight="false" outlineLevel="0" collapsed="false">
      <c r="A54" s="0"/>
    </row>
    <row r="55" customFormat="false" ht="12.8" hidden="false" customHeight="false" outlineLevel="0" collapsed="false">
      <c r="A55" s="0"/>
    </row>
    <row r="56" customFormat="false" ht="12.8" hidden="false" customHeight="false" outlineLevel="0" collapsed="false">
      <c r="A56" s="0"/>
    </row>
    <row r="57" customFormat="false" ht="12.8" hidden="false" customHeight="false" outlineLevel="0" collapsed="false">
      <c r="A57" s="0"/>
    </row>
    <row r="58" customFormat="false" ht="12.8" hidden="false" customHeight="false" outlineLevel="0" collapsed="false">
      <c r="A58" s="0"/>
    </row>
    <row r="59" customFormat="false" ht="12.8" hidden="false" customHeight="false" outlineLevel="0" collapsed="false">
      <c r="A59" s="0"/>
    </row>
    <row r="60" customFormat="false" ht="12.8" hidden="false" customHeight="false" outlineLevel="0" collapsed="false">
      <c r="A60" s="0"/>
    </row>
    <row r="61" customFormat="false" ht="12.8" hidden="false" customHeight="false" outlineLevel="0" collapsed="false">
      <c r="A61" s="0"/>
    </row>
    <row r="62" customFormat="false" ht="12.8" hidden="false" customHeight="false" outlineLevel="0" collapsed="false">
      <c r="A62" s="0"/>
    </row>
    <row r="63" customFormat="false" ht="12.8" hidden="false" customHeight="false" outlineLevel="0" collapsed="false">
      <c r="A63" s="0"/>
    </row>
    <row r="64" customFormat="false" ht="12.8" hidden="false" customHeight="false" outlineLevel="0" collapsed="false">
      <c r="A64" s="0"/>
    </row>
    <row r="65" customFormat="false" ht="12.8" hidden="false" customHeight="false" outlineLevel="0" collapsed="false">
      <c r="A65" s="0"/>
    </row>
    <row r="66" customFormat="false" ht="12.8" hidden="false" customHeight="false" outlineLevel="0" collapsed="false">
      <c r="A66" s="0"/>
    </row>
    <row r="67" customFormat="false" ht="12.8" hidden="false" customHeight="false" outlineLevel="0" collapsed="false">
      <c r="A67" s="0"/>
    </row>
    <row r="68" customFormat="false" ht="12.8" hidden="false" customHeight="false" outlineLevel="0" collapsed="false">
      <c r="A68" s="0"/>
    </row>
    <row r="69" customFormat="false" ht="12.8" hidden="false" customHeight="false" outlineLevel="0" collapsed="false">
      <c r="A69" s="0"/>
    </row>
    <row r="70" customFormat="false" ht="12.8" hidden="false" customHeight="false" outlineLevel="0" collapsed="false">
      <c r="A70" s="0"/>
    </row>
    <row r="71" customFormat="false" ht="12.8" hidden="false" customHeight="false" outlineLevel="0" collapsed="false">
      <c r="A71" s="0"/>
    </row>
    <row r="72" customFormat="false" ht="12.8" hidden="false" customHeight="false" outlineLevel="0" collapsed="false">
      <c r="A72" s="0"/>
    </row>
    <row r="73" customFormat="false" ht="12.8" hidden="false" customHeight="false" outlineLevel="0" collapsed="false">
      <c r="A73" s="0"/>
    </row>
    <row r="74" customFormat="false" ht="12.8" hidden="false" customHeight="false" outlineLevel="0" collapsed="false">
      <c r="A74" s="0"/>
    </row>
    <row r="75" customFormat="false" ht="12.8" hidden="false" customHeight="false" outlineLevel="0" collapsed="false">
      <c r="A75" s="0"/>
    </row>
    <row r="76" customFormat="false" ht="12.8" hidden="false" customHeight="false" outlineLevel="0" collapsed="false">
      <c r="A76" s="0"/>
    </row>
    <row r="77" customFormat="false" ht="12.8" hidden="false" customHeight="false" outlineLevel="0" collapsed="false">
      <c r="A77" s="0"/>
    </row>
    <row r="78" customFormat="false" ht="12.8" hidden="false" customHeight="false" outlineLevel="0" collapsed="false">
      <c r="A78" s="0"/>
    </row>
    <row r="79" customFormat="false" ht="12.8" hidden="false" customHeight="false" outlineLevel="0" collapsed="false">
      <c r="A79" s="0"/>
    </row>
    <row r="80" customFormat="false" ht="12.8" hidden="false" customHeight="false" outlineLevel="0" collapsed="false">
      <c r="A80" s="0"/>
    </row>
    <row r="81" customFormat="false" ht="12.8" hidden="false" customHeight="false" outlineLevel="0" collapsed="false">
      <c r="A81" s="0"/>
    </row>
    <row r="82" customFormat="false" ht="12.8" hidden="false" customHeight="false" outlineLevel="0" collapsed="false">
      <c r="A82" s="0"/>
    </row>
    <row r="83" customFormat="false" ht="12.8" hidden="false" customHeight="false" outlineLevel="0" collapsed="false">
      <c r="A83" s="0"/>
    </row>
    <row r="84" customFormat="false" ht="12.8" hidden="false" customHeight="false" outlineLevel="0" collapsed="false">
      <c r="A84" s="0"/>
    </row>
    <row r="85" customFormat="false" ht="12.8" hidden="false" customHeight="false" outlineLevel="0" collapsed="false">
      <c r="A85" s="0"/>
    </row>
    <row r="86" customFormat="false" ht="12.8" hidden="false" customHeight="false" outlineLevel="0" collapsed="false">
      <c r="A86" s="0"/>
    </row>
    <row r="87" customFormat="false" ht="12.8" hidden="false" customHeight="false" outlineLevel="0" collapsed="false">
      <c r="A87" s="0"/>
    </row>
    <row r="88" customFormat="false" ht="12.8" hidden="false" customHeight="false" outlineLevel="0" collapsed="false">
      <c r="A88" s="0"/>
    </row>
    <row r="89" customFormat="false" ht="12.8" hidden="false" customHeight="false" outlineLevel="0" collapsed="false">
      <c r="A89" s="0"/>
    </row>
    <row r="90" customFormat="false" ht="12.8" hidden="false" customHeight="false" outlineLevel="0" collapsed="false">
      <c r="A90" s="0"/>
    </row>
    <row r="91" customFormat="false" ht="12.8" hidden="false" customHeight="false" outlineLevel="0" collapsed="false">
      <c r="A91" s="0"/>
    </row>
    <row r="92" customFormat="false" ht="12.8" hidden="false" customHeight="false" outlineLevel="0" collapsed="false">
      <c r="A92" s="0"/>
    </row>
    <row r="93" customFormat="false" ht="12.8" hidden="false" customHeight="false" outlineLevel="0" collapsed="false">
      <c r="A93" s="0"/>
    </row>
    <row r="94" customFormat="false" ht="12.8" hidden="false" customHeight="false" outlineLevel="0" collapsed="false">
      <c r="A94" s="0"/>
    </row>
    <row r="95" customFormat="false" ht="12.8" hidden="false" customHeight="false" outlineLevel="0" collapsed="false">
      <c r="A95" s="0"/>
    </row>
    <row r="96" customFormat="false" ht="12.8" hidden="false" customHeight="false" outlineLevel="0" collapsed="false">
      <c r="A96" s="0"/>
    </row>
    <row r="97" customFormat="false" ht="12.8" hidden="false" customHeight="false" outlineLevel="0" collapsed="false">
      <c r="A97" s="0"/>
    </row>
    <row r="98" customFormat="false" ht="12.8" hidden="false" customHeight="false" outlineLevel="0" collapsed="false">
      <c r="A98" s="0"/>
    </row>
    <row r="99" customFormat="false" ht="12.8" hidden="false" customHeight="false" outlineLevel="0" collapsed="false">
      <c r="A99" s="0"/>
    </row>
    <row r="100" customFormat="false" ht="12.8" hidden="false" customHeight="false" outlineLevel="0" collapsed="false">
      <c r="A100" s="0"/>
    </row>
    <row r="101" customFormat="false" ht="12.8" hidden="false" customHeight="false" outlineLevel="0" collapsed="false">
      <c r="A101" s="0"/>
    </row>
    <row r="102" customFormat="false" ht="12.8" hidden="false" customHeight="false" outlineLevel="0" collapsed="false">
      <c r="A102" s="0"/>
    </row>
    <row r="103" customFormat="false" ht="12.8" hidden="false" customHeight="false" outlineLevel="0" collapsed="false">
      <c r="A103" s="0"/>
    </row>
    <row r="104" customFormat="false" ht="12.8" hidden="false" customHeight="false" outlineLevel="0" collapsed="false">
      <c r="A104" s="0"/>
    </row>
    <row r="105" customFormat="false" ht="12.8" hidden="false" customHeight="false" outlineLevel="0" collapsed="false">
      <c r="A105" s="0"/>
    </row>
    <row r="106" customFormat="false" ht="12.8" hidden="false" customHeight="false" outlineLevel="0" collapsed="false">
      <c r="A106" s="0"/>
    </row>
    <row r="107" customFormat="false" ht="12.8" hidden="false" customHeight="false" outlineLevel="0" collapsed="false">
      <c r="A107" s="0"/>
    </row>
    <row r="108" customFormat="false" ht="12.8" hidden="false" customHeight="false" outlineLevel="0" collapsed="false">
      <c r="A108" s="0"/>
    </row>
    <row r="109" customFormat="false" ht="12.8" hidden="false" customHeight="false" outlineLevel="0" collapsed="false">
      <c r="A109" s="0"/>
    </row>
    <row r="110" customFormat="false" ht="12.8" hidden="false" customHeight="false" outlineLevel="0" collapsed="false">
      <c r="A110" s="0"/>
    </row>
    <row r="111" customFormat="false" ht="12.8" hidden="false" customHeight="false" outlineLevel="0" collapsed="false">
      <c r="A111" s="0"/>
    </row>
    <row r="112" customFormat="false" ht="12.8" hidden="false" customHeight="false" outlineLevel="0" collapsed="false">
      <c r="A112" s="0"/>
    </row>
    <row r="113" customFormat="false" ht="12.8" hidden="false" customHeight="false" outlineLevel="0" collapsed="false">
      <c r="A113" s="0"/>
    </row>
    <row r="114" customFormat="false" ht="12.8" hidden="false" customHeight="false" outlineLevel="0" collapsed="false">
      <c r="A114" s="0"/>
    </row>
    <row r="115" customFormat="false" ht="12.8" hidden="false" customHeight="false" outlineLevel="0" collapsed="false">
      <c r="A115" s="0"/>
    </row>
    <row r="116" customFormat="false" ht="12.8" hidden="false" customHeight="false" outlineLevel="0" collapsed="false">
      <c r="A116" s="0"/>
    </row>
    <row r="117" customFormat="false" ht="12.8" hidden="false" customHeight="false" outlineLevel="0" collapsed="false">
      <c r="A117" s="0"/>
    </row>
    <row r="118" customFormat="false" ht="12.8" hidden="false" customHeight="false" outlineLevel="0" collapsed="false">
      <c r="A118" s="0"/>
    </row>
    <row r="119" customFormat="false" ht="12.8" hidden="false" customHeight="false" outlineLevel="0" collapsed="false">
      <c r="A119" s="0"/>
    </row>
    <row r="120" customFormat="false" ht="12.8" hidden="false" customHeight="false" outlineLevel="0" collapsed="false">
      <c r="A120" s="0"/>
    </row>
    <row r="121" customFormat="false" ht="12.8" hidden="false" customHeight="false" outlineLevel="0" collapsed="false">
      <c r="A121" s="0"/>
    </row>
    <row r="122" customFormat="false" ht="12.8" hidden="false" customHeight="false" outlineLevel="0" collapsed="false">
      <c r="A122" s="0"/>
    </row>
    <row r="123" customFormat="false" ht="12.8" hidden="false" customHeight="false" outlineLevel="0" collapsed="false">
      <c r="A123" s="0"/>
    </row>
    <row r="124" customFormat="false" ht="12.8" hidden="false" customHeight="false" outlineLevel="0" collapsed="false">
      <c r="A124" s="0"/>
    </row>
    <row r="125" customFormat="false" ht="12.8" hidden="false" customHeight="false" outlineLevel="0" collapsed="false">
      <c r="A125" s="0"/>
    </row>
    <row r="126" customFormat="false" ht="12.8" hidden="false" customHeight="false" outlineLevel="0" collapsed="false">
      <c r="A126" s="0"/>
    </row>
    <row r="127" customFormat="false" ht="12.8" hidden="false" customHeight="false" outlineLevel="0" collapsed="false">
      <c r="A127" s="0"/>
    </row>
    <row r="128" customFormat="false" ht="12.8" hidden="false" customHeight="false" outlineLevel="0" collapsed="false">
      <c r="A128" s="0"/>
    </row>
    <row r="129" customFormat="false" ht="12.8" hidden="false" customHeight="false" outlineLevel="0" collapsed="false">
      <c r="A129" s="0"/>
    </row>
    <row r="130" customFormat="false" ht="12.8" hidden="false" customHeight="false" outlineLevel="0" collapsed="false">
      <c r="A130" s="0"/>
    </row>
    <row r="131" customFormat="false" ht="12.8" hidden="false" customHeight="false" outlineLevel="0" collapsed="false">
      <c r="A131" s="0"/>
    </row>
    <row r="132" customFormat="false" ht="12.8" hidden="false" customHeight="false" outlineLevel="0" collapsed="false">
      <c r="A132" s="0"/>
    </row>
    <row r="133" customFormat="false" ht="12.8" hidden="false" customHeight="false" outlineLevel="0" collapsed="false">
      <c r="A133" s="0"/>
    </row>
    <row r="134" customFormat="false" ht="12.8" hidden="false" customHeight="false" outlineLevel="0" collapsed="false">
      <c r="A134" s="0"/>
    </row>
    <row r="135" customFormat="false" ht="12.8" hidden="false" customHeight="false" outlineLevel="0" collapsed="false">
      <c r="A135" s="0"/>
    </row>
    <row r="136" customFormat="false" ht="12.8" hidden="false" customHeight="false" outlineLevel="0" collapsed="false">
      <c r="A136" s="0"/>
    </row>
    <row r="137" customFormat="false" ht="12.8" hidden="false" customHeight="false" outlineLevel="0" collapsed="false">
      <c r="A137" s="0"/>
    </row>
    <row r="138" customFormat="false" ht="12.8" hidden="false" customHeight="false" outlineLevel="0" collapsed="false">
      <c r="A138" s="0"/>
    </row>
    <row r="139" customFormat="false" ht="12.8" hidden="false" customHeight="false" outlineLevel="0" collapsed="false">
      <c r="A139" s="0"/>
    </row>
    <row r="140" customFormat="false" ht="12.8" hidden="false" customHeight="false" outlineLevel="0" collapsed="false">
      <c r="A140" s="0"/>
    </row>
    <row r="141" customFormat="false" ht="12.8" hidden="false" customHeight="false" outlineLevel="0" collapsed="false">
      <c r="A141" s="0"/>
    </row>
    <row r="142" customFormat="false" ht="12.8" hidden="false" customHeight="false" outlineLevel="0" collapsed="false">
      <c r="A142" s="0"/>
    </row>
    <row r="143" customFormat="false" ht="12.8" hidden="false" customHeight="false" outlineLevel="0" collapsed="false">
      <c r="A143" s="0"/>
    </row>
    <row r="144" customFormat="false" ht="12.8" hidden="false" customHeight="false" outlineLevel="0" collapsed="false">
      <c r="A144" s="0"/>
    </row>
    <row r="145" customFormat="false" ht="12.8" hidden="false" customHeight="false" outlineLevel="0" collapsed="false">
      <c r="A145" s="0"/>
    </row>
    <row r="146" customFormat="false" ht="12.8" hidden="false" customHeight="false" outlineLevel="0" collapsed="false">
      <c r="A146" s="0"/>
    </row>
    <row r="147" customFormat="false" ht="12.8" hidden="false" customHeight="false" outlineLevel="0" collapsed="false">
      <c r="A147" s="0"/>
    </row>
    <row r="148" customFormat="false" ht="12.8" hidden="false" customHeight="false" outlineLevel="0" collapsed="false">
      <c r="A148" s="0"/>
    </row>
    <row r="149" customFormat="false" ht="12.8" hidden="false" customHeight="false" outlineLevel="0" collapsed="false">
      <c r="A149" s="0"/>
    </row>
    <row r="150" customFormat="false" ht="12.8" hidden="false" customHeight="false" outlineLevel="0" collapsed="false">
      <c r="A150" s="0"/>
    </row>
    <row r="151" customFormat="false" ht="12.8" hidden="false" customHeight="false" outlineLevel="0" collapsed="false">
      <c r="A151" s="0"/>
    </row>
    <row r="152" customFormat="false" ht="12.8" hidden="false" customHeight="false" outlineLevel="0" collapsed="false">
      <c r="A152" s="0"/>
    </row>
    <row r="153" customFormat="false" ht="12.8" hidden="false" customHeight="false" outlineLevel="0" collapsed="false">
      <c r="A153" s="0"/>
    </row>
    <row r="154" customFormat="false" ht="12.8" hidden="false" customHeight="false" outlineLevel="0" collapsed="false">
      <c r="A154" s="0"/>
    </row>
    <row r="155" customFormat="false" ht="12.8" hidden="false" customHeight="false" outlineLevel="0" collapsed="false">
      <c r="A155" s="0"/>
    </row>
    <row r="156" customFormat="false" ht="12.8" hidden="false" customHeight="false" outlineLevel="0" collapsed="false">
      <c r="A156" s="0"/>
    </row>
    <row r="157" customFormat="false" ht="12.8" hidden="false" customHeight="false" outlineLevel="0" collapsed="false">
      <c r="A157" s="0"/>
    </row>
    <row r="158" customFormat="false" ht="12.8" hidden="false" customHeight="false" outlineLevel="0" collapsed="false">
      <c r="A158" s="0"/>
    </row>
    <row r="159" customFormat="false" ht="12.8" hidden="false" customHeight="false" outlineLevel="0" collapsed="false">
      <c r="A159" s="0"/>
    </row>
    <row r="160" customFormat="false" ht="12.8" hidden="false" customHeight="false" outlineLevel="0" collapsed="false">
      <c r="A160" s="0"/>
    </row>
    <row r="161" customFormat="false" ht="12.8" hidden="false" customHeight="false" outlineLevel="0" collapsed="false">
      <c r="A161" s="0"/>
    </row>
    <row r="162" customFormat="false" ht="12.8" hidden="false" customHeight="false" outlineLevel="0" collapsed="false">
      <c r="A162" s="0"/>
    </row>
    <row r="163" customFormat="false" ht="12.8" hidden="false" customHeight="false" outlineLevel="0" collapsed="false">
      <c r="A163" s="0"/>
    </row>
    <row r="164" customFormat="false" ht="12.8" hidden="false" customHeight="false" outlineLevel="0" collapsed="false">
      <c r="A164" s="0"/>
    </row>
    <row r="165" customFormat="false" ht="12.8" hidden="false" customHeight="false" outlineLevel="0" collapsed="false">
      <c r="A165" s="0"/>
    </row>
    <row r="166" customFormat="false" ht="12.8" hidden="false" customHeight="false" outlineLevel="0" collapsed="false">
      <c r="A166" s="0"/>
    </row>
    <row r="167" customFormat="false" ht="12.8" hidden="false" customHeight="false" outlineLevel="0" collapsed="false">
      <c r="A167" s="0"/>
    </row>
    <row r="168" customFormat="false" ht="12.8" hidden="false" customHeight="false" outlineLevel="0" collapsed="false">
      <c r="A168" s="0"/>
    </row>
    <row r="169" customFormat="false" ht="12.8" hidden="false" customHeight="false" outlineLevel="0" collapsed="false">
      <c r="A169" s="0"/>
    </row>
    <row r="170" customFormat="false" ht="12.8" hidden="false" customHeight="false" outlineLevel="0" collapsed="false">
      <c r="A170" s="0"/>
    </row>
    <row r="171" customFormat="false" ht="12.8" hidden="false" customHeight="false" outlineLevel="0" collapsed="false">
      <c r="A171" s="0"/>
    </row>
    <row r="172" customFormat="false" ht="12.8" hidden="false" customHeight="false" outlineLevel="0" collapsed="false">
      <c r="A172" s="0"/>
    </row>
    <row r="173" customFormat="false" ht="12.8" hidden="false" customHeight="false" outlineLevel="0" collapsed="false">
      <c r="A173" s="0"/>
    </row>
    <row r="174" customFormat="false" ht="12.8" hidden="false" customHeight="false" outlineLevel="0" collapsed="false">
      <c r="A174" s="0"/>
    </row>
    <row r="175" customFormat="false" ht="12.8" hidden="false" customHeight="false" outlineLevel="0" collapsed="false">
      <c r="A175" s="0"/>
    </row>
    <row r="176" customFormat="false" ht="12.8" hidden="false" customHeight="false" outlineLevel="0" collapsed="false">
      <c r="A176" s="0"/>
    </row>
    <row r="177" customFormat="false" ht="12.8" hidden="false" customHeight="false" outlineLevel="0" collapsed="false">
      <c r="A177" s="0"/>
    </row>
    <row r="178" customFormat="false" ht="12.8" hidden="false" customHeight="false" outlineLevel="0" collapsed="false">
      <c r="A178" s="0"/>
    </row>
    <row r="179" customFormat="false" ht="12.8" hidden="false" customHeight="false" outlineLevel="0" collapsed="false">
      <c r="A179" s="0"/>
    </row>
    <row r="180" customFormat="false" ht="12.8" hidden="false" customHeight="false" outlineLevel="0" collapsed="false">
      <c r="A180" s="0"/>
    </row>
    <row r="181" customFormat="false" ht="12.8" hidden="false" customHeight="false" outlineLevel="0" collapsed="false">
      <c r="A181" s="0"/>
    </row>
    <row r="182" customFormat="false" ht="12.8" hidden="false" customHeight="false" outlineLevel="0" collapsed="false">
      <c r="A182" s="0"/>
    </row>
    <row r="183" customFormat="false" ht="12.8" hidden="false" customHeight="false" outlineLevel="0" collapsed="false">
      <c r="A183" s="0"/>
    </row>
    <row r="184" customFormat="false" ht="12.8" hidden="false" customHeight="false" outlineLevel="0" collapsed="false">
      <c r="A184" s="0"/>
    </row>
    <row r="185" customFormat="false" ht="12.8" hidden="false" customHeight="false" outlineLevel="0" collapsed="false">
      <c r="A185" s="0"/>
    </row>
    <row r="186" customFormat="false" ht="12.8" hidden="false" customHeight="false" outlineLevel="0" collapsed="false">
      <c r="A186" s="0"/>
    </row>
    <row r="187" customFormat="false" ht="12.8" hidden="false" customHeight="false" outlineLevel="0" collapsed="false">
      <c r="A187" s="0"/>
    </row>
    <row r="188" customFormat="false" ht="12.8" hidden="false" customHeight="false" outlineLevel="0" collapsed="false">
      <c r="A188" s="0"/>
    </row>
    <row r="189" customFormat="false" ht="12.8" hidden="false" customHeight="false" outlineLevel="0" collapsed="false">
      <c r="A189" s="0"/>
    </row>
    <row r="190" customFormat="false" ht="12.8" hidden="false" customHeight="false" outlineLevel="0" collapsed="false">
      <c r="A190" s="0"/>
    </row>
    <row r="191" customFormat="false" ht="12.8" hidden="false" customHeight="false" outlineLevel="0" collapsed="false">
      <c r="A191" s="0"/>
    </row>
    <row r="192" customFormat="false" ht="12.8" hidden="false" customHeight="false" outlineLevel="0" collapsed="false">
      <c r="A192" s="0"/>
    </row>
    <row r="193" customFormat="false" ht="12.8" hidden="false" customHeight="false" outlineLevel="0" collapsed="false">
      <c r="A193" s="0"/>
    </row>
    <row r="194" customFormat="false" ht="12.8" hidden="false" customHeight="false" outlineLevel="0" collapsed="false">
      <c r="A194" s="0"/>
    </row>
    <row r="195" customFormat="false" ht="12.8" hidden="false" customHeight="false" outlineLevel="0" collapsed="false">
      <c r="A195" s="0"/>
    </row>
    <row r="196" customFormat="false" ht="12.8" hidden="false" customHeight="false" outlineLevel="0" collapsed="false">
      <c r="A196" s="0"/>
    </row>
    <row r="197" customFormat="false" ht="12.8" hidden="false" customHeight="false" outlineLevel="0" collapsed="false">
      <c r="A197" s="0"/>
    </row>
    <row r="198" customFormat="false" ht="12.8" hidden="false" customHeight="false" outlineLevel="0" collapsed="false">
      <c r="A198" s="0"/>
    </row>
    <row r="199" customFormat="false" ht="12.8" hidden="false" customHeight="false" outlineLevel="0" collapsed="false">
      <c r="A199" s="0"/>
    </row>
    <row r="200" customFormat="false" ht="12.8" hidden="false" customHeight="false" outlineLevel="0" collapsed="false">
      <c r="A200" s="0"/>
    </row>
    <row r="201" customFormat="false" ht="12.8" hidden="false" customHeight="false" outlineLevel="0" collapsed="false">
      <c r="A201" s="0"/>
    </row>
    <row r="202" customFormat="false" ht="12.8" hidden="false" customHeight="false" outlineLevel="0" collapsed="false">
      <c r="A202" s="0"/>
    </row>
    <row r="203" customFormat="false" ht="12.8" hidden="false" customHeight="false" outlineLevel="0" collapsed="false">
      <c r="A203" s="0"/>
    </row>
    <row r="204" customFormat="false" ht="12.8" hidden="false" customHeight="false" outlineLevel="0" collapsed="false">
      <c r="A204" s="0"/>
    </row>
    <row r="205" customFormat="false" ht="12.8" hidden="false" customHeight="false" outlineLevel="0" collapsed="false">
      <c r="A205" s="0"/>
    </row>
    <row r="206" customFormat="false" ht="12.8" hidden="false" customHeight="false" outlineLevel="0" collapsed="false">
      <c r="A206" s="0"/>
    </row>
    <row r="207" customFormat="false" ht="12.8" hidden="false" customHeight="false" outlineLevel="0" collapsed="false">
      <c r="A207" s="0"/>
    </row>
    <row r="208" customFormat="false" ht="12.8" hidden="false" customHeight="false" outlineLevel="0" collapsed="false">
      <c r="A208" s="0"/>
    </row>
    <row r="209" customFormat="false" ht="12.8" hidden="false" customHeight="false" outlineLevel="0" collapsed="false">
      <c r="A209" s="0"/>
    </row>
    <row r="210" customFormat="false" ht="12.8" hidden="false" customHeight="false" outlineLevel="0" collapsed="false">
      <c r="A210" s="0"/>
    </row>
    <row r="211" customFormat="false" ht="12.8" hidden="false" customHeight="false" outlineLevel="0" collapsed="false">
      <c r="A211" s="0"/>
    </row>
    <row r="212" customFormat="false" ht="12.8" hidden="false" customHeight="false" outlineLevel="0" collapsed="false">
      <c r="A212" s="0"/>
    </row>
    <row r="213" customFormat="false" ht="12.8" hidden="false" customHeight="false" outlineLevel="0" collapsed="false">
      <c r="A213" s="0"/>
    </row>
    <row r="214" customFormat="false" ht="12.8" hidden="false" customHeight="false" outlineLevel="0" collapsed="false">
      <c r="A214" s="0"/>
    </row>
    <row r="215" customFormat="false" ht="12.8" hidden="false" customHeight="false" outlineLevel="0" collapsed="false">
      <c r="A215" s="0"/>
    </row>
    <row r="216" customFormat="false" ht="12.8" hidden="false" customHeight="false" outlineLevel="0" collapsed="false">
      <c r="A216" s="0"/>
    </row>
    <row r="217" customFormat="false" ht="12.8" hidden="false" customHeight="false" outlineLevel="0" collapsed="false">
      <c r="A217" s="0"/>
    </row>
    <row r="218" customFormat="false" ht="12.8" hidden="false" customHeight="false" outlineLevel="0" collapsed="false">
      <c r="A218" s="0"/>
    </row>
    <row r="219" customFormat="false" ht="12.8" hidden="false" customHeight="false" outlineLevel="0" collapsed="false">
      <c r="A219" s="0"/>
    </row>
    <row r="220" customFormat="false" ht="12.8" hidden="false" customHeight="false" outlineLevel="0" collapsed="false">
      <c r="A220" s="0"/>
    </row>
    <row r="221" customFormat="false" ht="12.8" hidden="false" customHeight="false" outlineLevel="0" collapsed="false">
      <c r="A221" s="0"/>
    </row>
    <row r="222" customFormat="false" ht="12.8" hidden="false" customHeight="false" outlineLevel="0" collapsed="false">
      <c r="A222" s="0"/>
    </row>
    <row r="223" customFormat="false" ht="12.8" hidden="false" customHeight="false" outlineLevel="0" collapsed="false">
      <c r="A223" s="0"/>
    </row>
    <row r="224" customFormat="false" ht="12.8" hidden="false" customHeight="false" outlineLevel="0" collapsed="false">
      <c r="A224" s="0"/>
    </row>
    <row r="225" customFormat="false" ht="12.8" hidden="false" customHeight="false" outlineLevel="0" collapsed="false">
      <c r="A225" s="0"/>
    </row>
    <row r="226" customFormat="false" ht="12.8" hidden="false" customHeight="false" outlineLevel="0" collapsed="false">
      <c r="A226" s="0"/>
    </row>
    <row r="227" customFormat="false" ht="12.8" hidden="false" customHeight="false" outlineLevel="0" collapsed="false">
      <c r="A227" s="0"/>
    </row>
    <row r="228" customFormat="false" ht="12.8" hidden="false" customHeight="false" outlineLevel="0" collapsed="false">
      <c r="A228" s="0"/>
    </row>
    <row r="229" customFormat="false" ht="12.8" hidden="false" customHeight="false" outlineLevel="0" collapsed="false">
      <c r="A229" s="0"/>
    </row>
    <row r="230" customFormat="false" ht="12.8" hidden="false" customHeight="false" outlineLevel="0" collapsed="false">
      <c r="A230" s="0"/>
    </row>
    <row r="231" customFormat="false" ht="12.8" hidden="false" customHeight="false" outlineLevel="0" collapsed="false">
      <c r="A231" s="0"/>
    </row>
    <row r="232" customFormat="false" ht="12.8" hidden="false" customHeight="false" outlineLevel="0" collapsed="false">
      <c r="A232" s="0"/>
    </row>
    <row r="233" customFormat="false" ht="12.8" hidden="false" customHeight="false" outlineLevel="0" collapsed="false">
      <c r="A233" s="0"/>
    </row>
    <row r="234" customFormat="false" ht="12.8" hidden="false" customHeight="false" outlineLevel="0" collapsed="false">
      <c r="A234" s="0"/>
    </row>
    <row r="235" customFormat="false" ht="12.8" hidden="false" customHeight="false" outlineLevel="0" collapsed="false">
      <c r="A235" s="0"/>
    </row>
    <row r="236" customFormat="false" ht="12.8" hidden="false" customHeight="false" outlineLevel="0" collapsed="false">
      <c r="A236" s="0"/>
    </row>
    <row r="237" customFormat="false" ht="12.8" hidden="false" customHeight="false" outlineLevel="0" collapsed="false">
      <c r="A237" s="0"/>
    </row>
    <row r="238" customFormat="false" ht="12.8" hidden="false" customHeight="false" outlineLevel="0" collapsed="false">
      <c r="A238" s="0"/>
    </row>
    <row r="239" customFormat="false" ht="12.8" hidden="false" customHeight="false" outlineLevel="0" collapsed="false">
      <c r="A239" s="0"/>
    </row>
    <row r="240" customFormat="false" ht="12.8" hidden="false" customHeight="false" outlineLevel="0" collapsed="false">
      <c r="A240" s="0"/>
    </row>
    <row r="241" customFormat="false" ht="12.8" hidden="false" customHeight="false" outlineLevel="0" collapsed="false">
      <c r="A241" s="0"/>
    </row>
    <row r="242" customFormat="false" ht="12.8" hidden="false" customHeight="false" outlineLevel="0" collapsed="false">
      <c r="A242" s="0"/>
    </row>
    <row r="243" customFormat="false" ht="12.8" hidden="false" customHeight="false" outlineLevel="0" collapsed="false">
      <c r="A243" s="0"/>
    </row>
    <row r="244" customFormat="false" ht="12.8" hidden="false" customHeight="false" outlineLevel="0" collapsed="false">
      <c r="A244" s="0"/>
    </row>
    <row r="245" customFormat="false" ht="12.8" hidden="false" customHeight="false" outlineLevel="0" collapsed="false">
      <c r="A245" s="0"/>
    </row>
    <row r="246" customFormat="false" ht="12.8" hidden="false" customHeight="false" outlineLevel="0" collapsed="false">
      <c r="A246" s="0"/>
    </row>
    <row r="247" customFormat="false" ht="12.8" hidden="false" customHeight="false" outlineLevel="0" collapsed="false">
      <c r="A247" s="0"/>
    </row>
    <row r="248" customFormat="false" ht="12.8" hidden="false" customHeight="false" outlineLevel="0" collapsed="false">
      <c r="A248" s="0"/>
    </row>
    <row r="249" customFormat="false" ht="12.8" hidden="false" customHeight="false" outlineLevel="0" collapsed="false">
      <c r="A249" s="0"/>
    </row>
    <row r="250" customFormat="false" ht="12.8" hidden="false" customHeight="false" outlineLevel="0" collapsed="false">
      <c r="A250" s="0"/>
    </row>
    <row r="251" customFormat="false" ht="12.8" hidden="false" customHeight="false" outlineLevel="0" collapsed="false">
      <c r="A251" s="0"/>
    </row>
    <row r="252" customFormat="false" ht="12.8" hidden="false" customHeight="false" outlineLevel="0" collapsed="false">
      <c r="A252" s="0"/>
    </row>
    <row r="253" customFormat="false" ht="12.8" hidden="false" customHeight="false" outlineLevel="0" collapsed="false">
      <c r="A253" s="0"/>
    </row>
    <row r="254" customFormat="false" ht="12.8" hidden="false" customHeight="false" outlineLevel="0" collapsed="false">
      <c r="A254" s="0"/>
    </row>
    <row r="255" customFormat="false" ht="12.8" hidden="false" customHeight="false" outlineLevel="0" collapsed="false">
      <c r="A255" s="0"/>
    </row>
    <row r="256" customFormat="false" ht="12.8" hidden="false" customHeight="false" outlineLevel="0" collapsed="false">
      <c r="A256" s="0"/>
    </row>
    <row r="257" customFormat="false" ht="12.8" hidden="false" customHeight="false" outlineLevel="0" collapsed="false">
      <c r="A257" s="0"/>
    </row>
    <row r="258" customFormat="false" ht="12.8" hidden="false" customHeight="false" outlineLevel="0" collapsed="false">
      <c r="A258" s="0"/>
    </row>
    <row r="259" customFormat="false" ht="12.8" hidden="false" customHeight="false" outlineLevel="0" collapsed="false">
      <c r="A259" s="0"/>
    </row>
    <row r="260" customFormat="false" ht="12.8" hidden="false" customHeight="false" outlineLevel="0" collapsed="false">
      <c r="A260" s="0"/>
    </row>
    <row r="261" customFormat="false" ht="12.8" hidden="false" customHeight="false" outlineLevel="0" collapsed="false">
      <c r="A261" s="0"/>
    </row>
    <row r="262" customFormat="false" ht="12.8" hidden="false" customHeight="false" outlineLevel="0" collapsed="false">
      <c r="A262" s="0"/>
    </row>
    <row r="263" customFormat="false" ht="12.8" hidden="false" customHeight="false" outlineLevel="0" collapsed="false">
      <c r="A263" s="0"/>
    </row>
    <row r="264" customFormat="false" ht="12.8" hidden="false" customHeight="false" outlineLevel="0" collapsed="false">
      <c r="A264" s="0"/>
    </row>
    <row r="265" customFormat="false" ht="12.8" hidden="false" customHeight="false" outlineLevel="0" collapsed="false">
      <c r="A265" s="0"/>
    </row>
    <row r="266" customFormat="false" ht="12.8" hidden="false" customHeight="false" outlineLevel="0" collapsed="false">
      <c r="A266" s="0"/>
    </row>
    <row r="267" customFormat="false" ht="12.8" hidden="false" customHeight="false" outlineLevel="0" collapsed="false">
      <c r="A267" s="0"/>
    </row>
    <row r="268" customFormat="false" ht="12.8" hidden="false" customHeight="false" outlineLevel="0" collapsed="false">
      <c r="A268" s="0"/>
    </row>
    <row r="269" customFormat="false" ht="12.8" hidden="false" customHeight="false" outlineLevel="0" collapsed="false">
      <c r="A269" s="0"/>
    </row>
    <row r="270" customFormat="false" ht="12.8" hidden="false" customHeight="false" outlineLevel="0" collapsed="false">
      <c r="A270" s="0"/>
    </row>
    <row r="271" customFormat="false" ht="12.8" hidden="false" customHeight="false" outlineLevel="0" collapsed="false">
      <c r="A271" s="0"/>
    </row>
    <row r="272" customFormat="false" ht="12.8" hidden="false" customHeight="false" outlineLevel="0" collapsed="false">
      <c r="A272" s="0"/>
    </row>
    <row r="273" customFormat="false" ht="12.8" hidden="false" customHeight="false" outlineLevel="0" collapsed="false">
      <c r="A273" s="0"/>
    </row>
    <row r="274" customFormat="false" ht="12.8" hidden="false" customHeight="false" outlineLevel="0" collapsed="false">
      <c r="A274" s="0"/>
    </row>
    <row r="275" customFormat="false" ht="12.8" hidden="false" customHeight="false" outlineLevel="0" collapsed="false">
      <c r="A275" s="0"/>
    </row>
    <row r="276" customFormat="false" ht="12.8" hidden="false" customHeight="false" outlineLevel="0" collapsed="false">
      <c r="A276" s="0"/>
    </row>
    <row r="277" customFormat="false" ht="12.8" hidden="false" customHeight="false" outlineLevel="0" collapsed="false">
      <c r="A277" s="0"/>
    </row>
    <row r="278" customFormat="false" ht="12.8" hidden="false" customHeight="false" outlineLevel="0" collapsed="false">
      <c r="A278" s="0"/>
    </row>
    <row r="279" customFormat="false" ht="12.8" hidden="false" customHeight="false" outlineLevel="0" collapsed="false">
      <c r="A279" s="0"/>
    </row>
    <row r="280" customFormat="false" ht="12.8" hidden="false" customHeight="false" outlineLevel="0" collapsed="false">
      <c r="A280" s="0"/>
    </row>
    <row r="281" customFormat="false" ht="12.8" hidden="false" customHeight="false" outlineLevel="0" collapsed="false">
      <c r="A281" s="0"/>
    </row>
    <row r="282" customFormat="false" ht="12.8" hidden="false" customHeight="false" outlineLevel="0" collapsed="false">
      <c r="A282" s="0"/>
    </row>
    <row r="283" customFormat="false" ht="12.8" hidden="false" customHeight="false" outlineLevel="0" collapsed="false">
      <c r="A283" s="0"/>
    </row>
    <row r="284" customFormat="false" ht="12.8" hidden="false" customHeight="false" outlineLevel="0" collapsed="false">
      <c r="A284" s="0"/>
    </row>
    <row r="285" customFormat="false" ht="12.8" hidden="false" customHeight="false" outlineLevel="0" collapsed="false">
      <c r="A285" s="0"/>
    </row>
    <row r="286" customFormat="false" ht="12.8" hidden="false" customHeight="false" outlineLevel="0" collapsed="false">
      <c r="A286" s="0"/>
    </row>
    <row r="287" customFormat="false" ht="12.8" hidden="false" customHeight="false" outlineLevel="0" collapsed="false">
      <c r="A287" s="0"/>
    </row>
    <row r="288" customFormat="false" ht="12.8" hidden="false" customHeight="false" outlineLevel="0" collapsed="false">
      <c r="A288" s="0"/>
    </row>
    <row r="289" customFormat="false" ht="12.8" hidden="false" customHeight="false" outlineLevel="0" collapsed="false">
      <c r="A289" s="0"/>
    </row>
    <row r="290" customFormat="false" ht="12.8" hidden="false" customHeight="false" outlineLevel="0" collapsed="false">
      <c r="A290" s="0"/>
    </row>
    <row r="291" customFormat="false" ht="12.8" hidden="false" customHeight="false" outlineLevel="0" collapsed="false">
      <c r="A291" s="0"/>
    </row>
    <row r="292" customFormat="false" ht="12.8" hidden="false" customHeight="false" outlineLevel="0" collapsed="false">
      <c r="A292" s="0"/>
    </row>
    <row r="293" customFormat="false" ht="12.8" hidden="false" customHeight="false" outlineLevel="0" collapsed="false">
      <c r="A293" s="0"/>
    </row>
    <row r="294" customFormat="false" ht="12.8" hidden="false" customHeight="false" outlineLevel="0" collapsed="false">
      <c r="A294" s="0"/>
    </row>
    <row r="295" customFormat="false" ht="12.8" hidden="false" customHeight="false" outlineLevel="0" collapsed="false">
      <c r="A295" s="0"/>
    </row>
    <row r="296" customFormat="false" ht="12.8" hidden="false" customHeight="false" outlineLevel="0" collapsed="false">
      <c r="A296" s="0"/>
    </row>
    <row r="297" customFormat="false" ht="12.8" hidden="false" customHeight="false" outlineLevel="0" collapsed="false">
      <c r="A297" s="0"/>
    </row>
    <row r="298" customFormat="false" ht="12.8" hidden="false" customHeight="false" outlineLevel="0" collapsed="false">
      <c r="A298" s="0"/>
    </row>
    <row r="299" customFormat="false" ht="12.8" hidden="false" customHeight="false" outlineLevel="0" collapsed="false">
      <c r="A299" s="0"/>
    </row>
    <row r="300" customFormat="false" ht="12.8" hidden="false" customHeight="false" outlineLevel="0" collapsed="false">
      <c r="A300" s="0"/>
    </row>
    <row r="301" customFormat="false" ht="12.8" hidden="false" customHeight="false" outlineLevel="0" collapsed="false">
      <c r="A301" s="0"/>
    </row>
    <row r="302" customFormat="false" ht="12.8" hidden="false" customHeight="false" outlineLevel="0" collapsed="false">
      <c r="A302" s="0"/>
    </row>
    <row r="303" customFormat="false" ht="12.8" hidden="false" customHeight="false" outlineLevel="0" collapsed="false">
      <c r="A303" s="0"/>
    </row>
    <row r="304" customFormat="false" ht="12.8" hidden="false" customHeight="false" outlineLevel="0" collapsed="false">
      <c r="A304" s="0"/>
    </row>
    <row r="305" customFormat="false" ht="12.8" hidden="false" customHeight="false" outlineLevel="0" collapsed="false">
      <c r="A305" s="0"/>
    </row>
    <row r="306" customFormat="false" ht="12.8" hidden="false" customHeight="false" outlineLevel="0" collapsed="false">
      <c r="A306" s="0"/>
    </row>
    <row r="307" customFormat="false" ht="12.8" hidden="false" customHeight="false" outlineLevel="0" collapsed="false">
      <c r="A307" s="0"/>
    </row>
    <row r="308" customFormat="false" ht="12.8" hidden="false" customHeight="false" outlineLevel="0" collapsed="false">
      <c r="A308" s="0"/>
    </row>
    <row r="309" customFormat="false" ht="12.8" hidden="false" customHeight="false" outlineLevel="0" collapsed="false">
      <c r="A309" s="0"/>
    </row>
    <row r="310" customFormat="false" ht="12.8" hidden="false" customHeight="false" outlineLevel="0" collapsed="false">
      <c r="A310" s="0"/>
    </row>
    <row r="311" customFormat="false" ht="12.8" hidden="false" customHeight="false" outlineLevel="0" collapsed="false">
      <c r="A311" s="0"/>
    </row>
    <row r="312" customFormat="false" ht="12.8" hidden="false" customHeight="false" outlineLevel="0" collapsed="false">
      <c r="A312" s="0"/>
    </row>
    <row r="313" customFormat="false" ht="12.8" hidden="false" customHeight="false" outlineLevel="0" collapsed="false">
      <c r="A313" s="0"/>
    </row>
    <row r="314" customFormat="false" ht="12.8" hidden="false" customHeight="false" outlineLevel="0" collapsed="false">
      <c r="A314" s="0"/>
    </row>
    <row r="315" customFormat="false" ht="12.8" hidden="false" customHeight="false" outlineLevel="0" collapsed="false">
      <c r="A315" s="0"/>
    </row>
    <row r="316" customFormat="false" ht="12.8" hidden="false" customHeight="false" outlineLevel="0" collapsed="false">
      <c r="A316" s="0"/>
    </row>
    <row r="317" customFormat="false" ht="12.8" hidden="false" customHeight="false" outlineLevel="0" collapsed="false">
      <c r="A317" s="0"/>
    </row>
    <row r="318" customFormat="false" ht="12.8" hidden="false" customHeight="false" outlineLevel="0" collapsed="false">
      <c r="A318" s="0"/>
    </row>
    <row r="319" customFormat="false" ht="12.8" hidden="false" customHeight="false" outlineLevel="0" collapsed="false">
      <c r="A319" s="0"/>
    </row>
    <row r="320" customFormat="false" ht="12.8" hidden="false" customHeight="false" outlineLevel="0" collapsed="false">
      <c r="A320" s="0"/>
    </row>
    <row r="321" customFormat="false" ht="12.8" hidden="false" customHeight="false" outlineLevel="0" collapsed="false">
      <c r="A321" s="0"/>
    </row>
    <row r="322" customFormat="false" ht="12.8" hidden="false" customHeight="false" outlineLevel="0" collapsed="false">
      <c r="A322" s="0"/>
    </row>
    <row r="323" customFormat="false" ht="12.8" hidden="false" customHeight="false" outlineLevel="0" collapsed="false">
      <c r="A323" s="0"/>
    </row>
    <row r="324" customFormat="false" ht="12.8" hidden="false" customHeight="false" outlineLevel="0" collapsed="false">
      <c r="A324" s="0"/>
    </row>
    <row r="325" customFormat="false" ht="12.8" hidden="false" customHeight="false" outlineLevel="0" collapsed="false">
      <c r="A325" s="0"/>
    </row>
    <row r="326" customFormat="false" ht="12.8" hidden="false" customHeight="false" outlineLevel="0" collapsed="false">
      <c r="A326" s="0"/>
    </row>
    <row r="327" customFormat="false" ht="12.8" hidden="false" customHeight="false" outlineLevel="0" collapsed="false">
      <c r="A327" s="0"/>
    </row>
    <row r="328" customFormat="false" ht="12.8" hidden="false" customHeight="false" outlineLevel="0" collapsed="false">
      <c r="A328" s="0"/>
    </row>
    <row r="329" customFormat="false" ht="12.8" hidden="false" customHeight="false" outlineLevel="0" collapsed="false">
      <c r="A329" s="0"/>
    </row>
    <row r="330" customFormat="false" ht="12.8" hidden="false" customHeight="false" outlineLevel="0" collapsed="false">
      <c r="A330" s="0"/>
    </row>
    <row r="331" customFormat="false" ht="12.8" hidden="false" customHeight="false" outlineLevel="0" collapsed="false">
      <c r="A331" s="0"/>
    </row>
    <row r="332" customFormat="false" ht="12.8" hidden="false" customHeight="false" outlineLevel="0" collapsed="false">
      <c r="A332" s="0"/>
    </row>
    <row r="333" customFormat="false" ht="12.8" hidden="false" customHeight="false" outlineLevel="0" collapsed="false">
      <c r="A333" s="0"/>
    </row>
    <row r="334" customFormat="false" ht="12.8" hidden="false" customHeight="false" outlineLevel="0" collapsed="false">
      <c r="A334" s="0"/>
    </row>
    <row r="335" customFormat="false" ht="12.8" hidden="false" customHeight="false" outlineLevel="0" collapsed="false">
      <c r="A335" s="0"/>
    </row>
    <row r="336" customFormat="false" ht="12.8" hidden="false" customHeight="false" outlineLevel="0" collapsed="false">
      <c r="A336" s="0"/>
    </row>
    <row r="337" customFormat="false" ht="12.8" hidden="false" customHeight="false" outlineLevel="0" collapsed="false">
      <c r="A337" s="0"/>
    </row>
    <row r="338" customFormat="false" ht="12.8" hidden="false" customHeight="false" outlineLevel="0" collapsed="false">
      <c r="A338" s="0"/>
    </row>
    <row r="339" customFormat="false" ht="12.8" hidden="false" customHeight="false" outlineLevel="0" collapsed="false">
      <c r="A339" s="0"/>
    </row>
    <row r="340" customFormat="false" ht="12.8" hidden="false" customHeight="false" outlineLevel="0" collapsed="false">
      <c r="A340" s="0"/>
    </row>
    <row r="341" customFormat="false" ht="12.8" hidden="false" customHeight="false" outlineLevel="0" collapsed="false">
      <c r="A341" s="0"/>
    </row>
    <row r="342" customFormat="false" ht="12.8" hidden="false" customHeight="false" outlineLevel="0" collapsed="false">
      <c r="A342" s="0"/>
    </row>
    <row r="343" customFormat="false" ht="12.8" hidden="false" customHeight="false" outlineLevel="0" collapsed="false">
      <c r="A343" s="0"/>
    </row>
    <row r="344" customFormat="false" ht="12.8" hidden="false" customHeight="false" outlineLevel="0" collapsed="false">
      <c r="A344" s="0"/>
    </row>
    <row r="345" customFormat="false" ht="12.8" hidden="false" customHeight="false" outlineLevel="0" collapsed="false">
      <c r="A345" s="0"/>
    </row>
    <row r="346" customFormat="false" ht="12.8" hidden="false" customHeight="false" outlineLevel="0" collapsed="false">
      <c r="A346" s="0"/>
    </row>
    <row r="347" customFormat="false" ht="12.8" hidden="false" customHeight="false" outlineLevel="0" collapsed="false">
      <c r="A347" s="0"/>
    </row>
    <row r="348" customFormat="false" ht="12.8" hidden="false" customHeight="false" outlineLevel="0" collapsed="false">
      <c r="A348" s="0"/>
    </row>
    <row r="349" customFormat="false" ht="12.8" hidden="false" customHeight="false" outlineLevel="0" collapsed="false">
      <c r="A349" s="0"/>
    </row>
    <row r="350" customFormat="false" ht="12.8" hidden="false" customHeight="false" outlineLevel="0" collapsed="false">
      <c r="A350" s="0"/>
    </row>
    <row r="351" customFormat="false" ht="12.8" hidden="false" customHeight="false" outlineLevel="0" collapsed="false">
      <c r="A351" s="0"/>
    </row>
    <row r="352" customFormat="false" ht="12.8" hidden="false" customHeight="false" outlineLevel="0" collapsed="false">
      <c r="A352" s="0"/>
    </row>
    <row r="353" customFormat="false" ht="12.8" hidden="false" customHeight="false" outlineLevel="0" collapsed="false">
      <c r="A353" s="0"/>
    </row>
    <row r="354" customFormat="false" ht="12.8" hidden="false" customHeight="false" outlineLevel="0" collapsed="false">
      <c r="A354" s="0"/>
    </row>
    <row r="355" customFormat="false" ht="12.8" hidden="false" customHeight="false" outlineLevel="0" collapsed="false">
      <c r="A355" s="0"/>
    </row>
    <row r="356" customFormat="false" ht="12.8" hidden="false" customHeight="false" outlineLevel="0" collapsed="false">
      <c r="A356" s="0"/>
    </row>
    <row r="357" customFormat="false" ht="12.8" hidden="false" customHeight="false" outlineLevel="0" collapsed="false">
      <c r="A357" s="0"/>
    </row>
    <row r="358" customFormat="false" ht="12.8" hidden="false" customHeight="false" outlineLevel="0" collapsed="false">
      <c r="A358" s="0"/>
    </row>
    <row r="359" customFormat="false" ht="12.8" hidden="false" customHeight="false" outlineLevel="0" collapsed="false">
      <c r="A359" s="0"/>
    </row>
    <row r="360" customFormat="false" ht="12.8" hidden="false" customHeight="false" outlineLevel="0" collapsed="false">
      <c r="A360" s="0"/>
    </row>
    <row r="361" customFormat="false" ht="12.8" hidden="false" customHeight="false" outlineLevel="0" collapsed="false">
      <c r="A361" s="0"/>
    </row>
    <row r="362" customFormat="false" ht="12.8" hidden="false" customHeight="false" outlineLevel="0" collapsed="false">
      <c r="A362" s="0"/>
    </row>
    <row r="363" customFormat="false" ht="12.8" hidden="false" customHeight="false" outlineLevel="0" collapsed="false">
      <c r="A363" s="0"/>
    </row>
    <row r="364" customFormat="false" ht="12.8" hidden="false" customHeight="false" outlineLevel="0" collapsed="false">
      <c r="A364" s="0"/>
    </row>
    <row r="365" customFormat="false" ht="12.8" hidden="false" customHeight="false" outlineLevel="0" collapsed="false">
      <c r="A365" s="0"/>
    </row>
    <row r="366" customFormat="false" ht="12.8" hidden="false" customHeight="false" outlineLevel="0" collapsed="false">
      <c r="A366" s="0"/>
    </row>
    <row r="367" customFormat="false" ht="12.8" hidden="false" customHeight="false" outlineLevel="0" collapsed="false">
      <c r="A367" s="0"/>
    </row>
    <row r="368" customFormat="false" ht="12.8" hidden="false" customHeight="false" outlineLevel="0" collapsed="false">
      <c r="A368" s="0"/>
    </row>
    <row r="369" customFormat="false" ht="12.8" hidden="false" customHeight="false" outlineLevel="0" collapsed="false">
      <c r="A369" s="0"/>
    </row>
    <row r="370" customFormat="false" ht="12.8" hidden="false" customHeight="false" outlineLevel="0" collapsed="false">
      <c r="A370" s="0"/>
    </row>
    <row r="371" customFormat="false" ht="12.8" hidden="false" customHeight="false" outlineLevel="0" collapsed="false">
      <c r="A371" s="0"/>
    </row>
    <row r="372" customFormat="false" ht="12.8" hidden="false" customHeight="false" outlineLevel="0" collapsed="false">
      <c r="A372" s="0"/>
    </row>
    <row r="373" customFormat="false" ht="12.8" hidden="false" customHeight="false" outlineLevel="0" collapsed="false">
      <c r="A373" s="0"/>
    </row>
    <row r="374" customFormat="false" ht="12.8" hidden="false" customHeight="false" outlineLevel="0" collapsed="false">
      <c r="A374" s="0"/>
    </row>
    <row r="375" customFormat="false" ht="12.8" hidden="false" customHeight="false" outlineLevel="0" collapsed="false">
      <c r="A375" s="0"/>
    </row>
    <row r="376" customFormat="false" ht="12.8" hidden="false" customHeight="false" outlineLevel="0" collapsed="false">
      <c r="A376" s="0"/>
    </row>
    <row r="377" customFormat="false" ht="12.8" hidden="false" customHeight="false" outlineLevel="0" collapsed="false">
      <c r="A377" s="0"/>
    </row>
    <row r="378" customFormat="false" ht="12.8" hidden="false" customHeight="false" outlineLevel="0" collapsed="false">
      <c r="A378" s="0"/>
    </row>
    <row r="379" customFormat="false" ht="12.8" hidden="false" customHeight="false" outlineLevel="0" collapsed="false">
      <c r="A379" s="0"/>
    </row>
    <row r="380" customFormat="false" ht="12.8" hidden="false" customHeight="false" outlineLevel="0" collapsed="false">
      <c r="A380" s="0"/>
    </row>
    <row r="381" customFormat="false" ht="12.8" hidden="false" customHeight="false" outlineLevel="0" collapsed="false">
      <c r="A381" s="0"/>
    </row>
    <row r="382" customFormat="false" ht="12.8" hidden="false" customHeight="false" outlineLevel="0" collapsed="false">
      <c r="A382" s="0"/>
    </row>
    <row r="383" customFormat="false" ht="12.8" hidden="false" customHeight="false" outlineLevel="0" collapsed="false">
      <c r="A383" s="0"/>
    </row>
    <row r="384" customFormat="false" ht="12.8" hidden="false" customHeight="false" outlineLevel="0" collapsed="false">
      <c r="A384" s="0"/>
    </row>
    <row r="385" customFormat="false" ht="12.8" hidden="false" customHeight="false" outlineLevel="0" collapsed="false">
      <c r="A385" s="0"/>
    </row>
    <row r="386" customFormat="false" ht="12.8" hidden="false" customHeight="false" outlineLevel="0" collapsed="false">
      <c r="A386" s="0"/>
    </row>
    <row r="387" customFormat="false" ht="12.8" hidden="false" customHeight="false" outlineLevel="0" collapsed="false">
      <c r="A387" s="0"/>
    </row>
    <row r="388" customFormat="false" ht="12.8" hidden="false" customHeight="false" outlineLevel="0" collapsed="false">
      <c r="A388" s="0"/>
    </row>
    <row r="389" customFormat="false" ht="12.8" hidden="false" customHeight="false" outlineLevel="0" collapsed="false">
      <c r="A389" s="0"/>
    </row>
    <row r="390" customFormat="false" ht="12.8" hidden="false" customHeight="false" outlineLevel="0" collapsed="false">
      <c r="A390" s="0"/>
    </row>
    <row r="391" customFormat="false" ht="12.8" hidden="false" customHeight="false" outlineLevel="0" collapsed="false">
      <c r="A391" s="0"/>
    </row>
    <row r="392" customFormat="false" ht="12.8" hidden="false" customHeight="false" outlineLevel="0" collapsed="false">
      <c r="A392" s="0"/>
    </row>
    <row r="393" customFormat="false" ht="12.8" hidden="false" customHeight="false" outlineLevel="0" collapsed="false">
      <c r="A393" s="0"/>
    </row>
    <row r="394" customFormat="false" ht="12.8" hidden="false" customHeight="false" outlineLevel="0" collapsed="false">
      <c r="A394" s="0"/>
    </row>
    <row r="395" customFormat="false" ht="12.8" hidden="false" customHeight="false" outlineLevel="0" collapsed="false">
      <c r="A395" s="0"/>
    </row>
    <row r="396" customFormat="false" ht="12.8" hidden="false" customHeight="false" outlineLevel="0" collapsed="false">
      <c r="A396" s="0"/>
    </row>
    <row r="397" customFormat="false" ht="12.8" hidden="false" customHeight="false" outlineLevel="0" collapsed="false">
      <c r="A397" s="0"/>
    </row>
    <row r="398" customFormat="false" ht="12.8" hidden="false" customHeight="false" outlineLevel="0" collapsed="false">
      <c r="A398" s="0"/>
    </row>
    <row r="399" customFormat="false" ht="12.8" hidden="false" customHeight="false" outlineLevel="0" collapsed="false">
      <c r="A399" s="0"/>
    </row>
    <row r="400" customFormat="false" ht="12.8" hidden="false" customHeight="false" outlineLevel="0" collapsed="false">
      <c r="A400" s="0"/>
    </row>
    <row r="401" customFormat="false" ht="12.8" hidden="false" customHeight="false" outlineLevel="0" collapsed="false">
      <c r="A401" s="0"/>
    </row>
    <row r="402" customFormat="false" ht="12.8" hidden="false" customHeight="false" outlineLevel="0" collapsed="false">
      <c r="A402" s="0"/>
    </row>
    <row r="403" customFormat="false" ht="12.8" hidden="false" customHeight="false" outlineLevel="0" collapsed="false">
      <c r="A403" s="0"/>
    </row>
    <row r="404" customFormat="false" ht="12.8" hidden="false" customHeight="false" outlineLevel="0" collapsed="false">
      <c r="A404" s="0"/>
    </row>
    <row r="405" customFormat="false" ht="12.8" hidden="false" customHeight="false" outlineLevel="0" collapsed="false">
      <c r="A405" s="0"/>
    </row>
    <row r="406" customFormat="false" ht="12.8" hidden="false" customHeight="false" outlineLevel="0" collapsed="false">
      <c r="A406" s="0"/>
    </row>
    <row r="407" customFormat="false" ht="12.8" hidden="false" customHeight="false" outlineLevel="0" collapsed="false">
      <c r="A407" s="0"/>
    </row>
    <row r="408" customFormat="false" ht="12.8" hidden="false" customHeight="false" outlineLevel="0" collapsed="false">
      <c r="A408" s="0"/>
    </row>
    <row r="409" customFormat="false" ht="12.8" hidden="false" customHeight="false" outlineLevel="0" collapsed="false">
      <c r="A409" s="0"/>
    </row>
    <row r="410" customFormat="false" ht="12.8" hidden="false" customHeight="false" outlineLevel="0" collapsed="false">
      <c r="A410" s="0"/>
    </row>
    <row r="411" customFormat="false" ht="12.8" hidden="false" customHeight="false" outlineLevel="0" collapsed="false">
      <c r="A411" s="0"/>
    </row>
    <row r="412" customFormat="false" ht="12.8" hidden="false" customHeight="false" outlineLevel="0" collapsed="false">
      <c r="A412" s="0"/>
    </row>
    <row r="413" customFormat="false" ht="12.8" hidden="false" customHeight="false" outlineLevel="0" collapsed="false">
      <c r="A413" s="0"/>
    </row>
    <row r="414" customFormat="false" ht="12.8" hidden="false" customHeight="false" outlineLevel="0" collapsed="false">
      <c r="A414" s="0"/>
    </row>
    <row r="415" customFormat="false" ht="12.8" hidden="false" customHeight="false" outlineLevel="0" collapsed="false">
      <c r="A415" s="0"/>
    </row>
    <row r="416" customFormat="false" ht="12.8" hidden="false" customHeight="false" outlineLevel="0" collapsed="false">
      <c r="A416" s="0"/>
    </row>
    <row r="417" customFormat="false" ht="12.8" hidden="false" customHeight="false" outlineLevel="0" collapsed="false">
      <c r="A417" s="0"/>
    </row>
    <row r="418" customFormat="false" ht="12.8" hidden="false" customHeight="false" outlineLevel="0" collapsed="false">
      <c r="A418" s="0"/>
    </row>
    <row r="419" customFormat="false" ht="12.8" hidden="false" customHeight="false" outlineLevel="0" collapsed="false">
      <c r="A419" s="0"/>
    </row>
    <row r="420" customFormat="false" ht="12.8" hidden="false" customHeight="false" outlineLevel="0" collapsed="false">
      <c r="A420" s="0"/>
    </row>
    <row r="421" customFormat="false" ht="12.8" hidden="false" customHeight="false" outlineLevel="0" collapsed="false">
      <c r="A421" s="0"/>
    </row>
    <row r="422" customFormat="false" ht="12.8" hidden="false" customHeight="false" outlineLevel="0" collapsed="false">
      <c r="A422" s="0"/>
    </row>
    <row r="423" customFormat="false" ht="12.8" hidden="false" customHeight="false" outlineLevel="0" collapsed="false">
      <c r="A423" s="0"/>
    </row>
    <row r="424" customFormat="false" ht="12.8" hidden="false" customHeight="false" outlineLevel="0" collapsed="false">
      <c r="A424" s="0"/>
    </row>
    <row r="425" customFormat="false" ht="12.8" hidden="false" customHeight="false" outlineLevel="0" collapsed="false">
      <c r="A425" s="0"/>
    </row>
    <row r="426" customFormat="false" ht="12.8" hidden="false" customHeight="false" outlineLevel="0" collapsed="false">
      <c r="A426" s="0"/>
    </row>
    <row r="427" customFormat="false" ht="12.8" hidden="false" customHeight="false" outlineLevel="0" collapsed="false">
      <c r="A427" s="0"/>
    </row>
    <row r="428" customFormat="false" ht="12.8" hidden="false" customHeight="false" outlineLevel="0" collapsed="false">
      <c r="A428" s="0"/>
    </row>
    <row r="429" customFormat="false" ht="12.8" hidden="false" customHeight="false" outlineLevel="0" collapsed="false">
      <c r="A429" s="0"/>
    </row>
    <row r="430" customFormat="false" ht="12.8" hidden="false" customHeight="false" outlineLevel="0" collapsed="false">
      <c r="A430" s="0"/>
    </row>
    <row r="431" customFormat="false" ht="12.8" hidden="false" customHeight="false" outlineLevel="0" collapsed="false">
      <c r="A431" s="0"/>
    </row>
    <row r="432" customFormat="false" ht="12.8" hidden="false" customHeight="false" outlineLevel="0" collapsed="false">
      <c r="A432" s="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01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1" topLeftCell="A2" activePane="bottomLeft" state="frozen"/>
      <selection pane="topLeft" activeCell="A1" activeCellId="0" sqref="A1"/>
      <selection pane="bottomLeft" activeCell="F2" activeCellId="0" sqref="F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30.05"/>
    <col collapsed="false" customWidth="true" hidden="false" outlineLevel="0" max="2" min="2" style="1" width="15.24"/>
    <col collapsed="false" customWidth="true" hidden="false" outlineLevel="0" max="3" min="3" style="1" width="16.56"/>
    <col collapsed="false" customWidth="true" hidden="false" outlineLevel="0" max="4" min="4" style="1" width="10.32"/>
    <col collapsed="false" customWidth="true" hidden="false" outlineLevel="0" max="5" min="5" style="1" width="19.41"/>
    <col collapsed="false" customWidth="true" hidden="false" outlineLevel="0" max="6" min="6" style="0" width="13.07"/>
    <col collapsed="false" customWidth="true" hidden="false" outlineLevel="0" max="8" min="8" style="1" width="19.41"/>
    <col collapsed="false" customWidth="true" hidden="false" outlineLevel="0" max="9" min="9" style="1" width="25.76"/>
  </cols>
  <sheetData>
    <row r="1" customFormat="false" ht="13" hidden="false" customHeight="false" outlineLevel="0" collapsed="false">
      <c r="A1" s="2" t="s">
        <v>1517</v>
      </c>
      <c r="B1" s="2" t="s">
        <v>1518</v>
      </c>
      <c r="C1" s="2" t="s">
        <v>1519</v>
      </c>
      <c r="D1" s="2" t="s">
        <v>1520</v>
      </c>
      <c r="E1" s="2" t="s">
        <v>1521</v>
      </c>
      <c r="F1" s="2" t="s">
        <v>1522</v>
      </c>
      <c r="G1" s="1"/>
    </row>
    <row r="2" customFormat="false" ht="13" hidden="false" customHeight="false" outlineLevel="0" collapsed="false">
      <c r="A2" s="1" t="s">
        <v>1523</v>
      </c>
      <c r="B2" s="1" t="s">
        <v>1524</v>
      </c>
      <c r="C2" s="1" t="s">
        <v>1525</v>
      </c>
      <c r="D2" s="1" t="n">
        <v>2</v>
      </c>
      <c r="E2" s="1" t="s">
        <v>1526</v>
      </c>
      <c r="F2" s="1" t="str">
        <f aca="false">IFERROR(VLOOKUP(C2, threat_intelligence A:B, 2, 0), "Not Exploited")</f>
        <v>Not Exploited</v>
      </c>
      <c r="G2" s="1"/>
    </row>
    <row r="3" customFormat="false" ht="13" hidden="false" customHeight="false" outlineLevel="0" collapsed="false">
      <c r="A3" s="1" t="s">
        <v>1527</v>
      </c>
      <c r="B3" s="1" t="s">
        <v>1528</v>
      </c>
      <c r="C3" s="1" t="s">
        <v>1529</v>
      </c>
      <c r="D3" s="1" t="n">
        <v>3</v>
      </c>
      <c r="E3" s="1" t="s">
        <v>1530</v>
      </c>
      <c r="F3" s="1" t="str">
        <f aca="false">IFERROR(VLOOKUP(C3, threat_intelligence A:B, 2, 0), "Not Exploited")</f>
        <v>Not Exploited</v>
      </c>
      <c r="G3" s="1"/>
      <c r="H3" s="27" t="s">
        <v>1521</v>
      </c>
      <c r="I3" s="28" t="s">
        <v>1531</v>
      </c>
      <c r="J3" s="29" t="s">
        <v>1532</v>
      </c>
      <c r="K3" s="30" t="s">
        <v>1533</v>
      </c>
      <c r="L3" s="30" t="s">
        <v>1534</v>
      </c>
    </row>
    <row r="4" customFormat="false" ht="13" hidden="false" customHeight="false" outlineLevel="0" collapsed="false">
      <c r="A4" s="1" t="s">
        <v>1535</v>
      </c>
      <c r="B4" s="1" t="s">
        <v>1536</v>
      </c>
      <c r="C4" s="1" t="s">
        <v>1537</v>
      </c>
      <c r="D4" s="1" t="n">
        <v>1</v>
      </c>
      <c r="E4" s="1" t="s">
        <v>1538</v>
      </c>
      <c r="F4" s="1" t="str">
        <f aca="false">IFERROR(VLOOKUP(C4, threat_intelligence A:B, 2, 0), "Not Exploited")</f>
        <v>Not Exploited</v>
      </c>
      <c r="G4" s="1"/>
      <c r="H4" s="31" t="s">
        <v>1530</v>
      </c>
      <c r="I4" s="31" t="n">
        <f aca="false">COUNTIFS(E:E,H4,D:D,"&gt;7")</f>
        <v>16</v>
      </c>
      <c r="J4" s="31" t="n">
        <f aca="false">COUNTIF(E:E,H4)</f>
        <v>56</v>
      </c>
      <c r="K4" s="32" t="n">
        <f aca="false">I4/J4</f>
        <v>0.285714285714286</v>
      </c>
    </row>
    <row r="5" customFormat="false" ht="13" hidden="false" customHeight="false" outlineLevel="0" collapsed="false">
      <c r="A5" s="1" t="s">
        <v>1539</v>
      </c>
      <c r="B5" s="1" t="s">
        <v>1540</v>
      </c>
      <c r="C5" s="1" t="s">
        <v>1541</v>
      </c>
      <c r="D5" s="1" t="n">
        <v>4</v>
      </c>
      <c r="E5" s="1" t="s">
        <v>1538</v>
      </c>
      <c r="F5" s="1" t="str">
        <f aca="false">IFERROR(VLOOKUP(C5, threat_intelligence A:B, 2, 0), "Not Exploited")</f>
        <v>Not Exploited</v>
      </c>
      <c r="G5" s="1"/>
      <c r="H5" s="31" t="s">
        <v>1526</v>
      </c>
      <c r="I5" s="31" t="n">
        <f aca="false">COUNTIFS(E:E,H5,D:D,"&gt;7")</f>
        <v>15</v>
      </c>
      <c r="J5" s="31" t="n">
        <f aca="false">COUNTIF(E:E,H5)</f>
        <v>55</v>
      </c>
      <c r="K5" s="32" t="n">
        <f aca="false">I5/J5</f>
        <v>0.272727272727273</v>
      </c>
    </row>
    <row r="6" customFormat="false" ht="13" hidden="false" customHeight="false" outlineLevel="0" collapsed="false">
      <c r="A6" s="1" t="s">
        <v>1542</v>
      </c>
      <c r="B6" s="1" t="s">
        <v>1543</v>
      </c>
      <c r="C6" s="1" t="s">
        <v>1544</v>
      </c>
      <c r="D6" s="1" t="n">
        <v>8</v>
      </c>
      <c r="E6" s="1" t="s">
        <v>1526</v>
      </c>
      <c r="F6" s="1" t="str">
        <f aca="false">IFERROR(VLOOKUP(C6, threat_intelligence A:B, 2, 0), "Not Exploited")</f>
        <v>Not Exploited</v>
      </c>
      <c r="G6" s="1"/>
      <c r="H6" s="31" t="s">
        <v>1538</v>
      </c>
      <c r="I6" s="31" t="n">
        <f aca="false">COUNTIFS(E:E,H6,D:D,"&gt;7")</f>
        <v>15</v>
      </c>
      <c r="J6" s="31" t="n">
        <f aca="false">COUNTIF(E:E,H6)</f>
        <v>65</v>
      </c>
      <c r="K6" s="32" t="n">
        <f aca="false">I6/J6</f>
        <v>0.230769230769231</v>
      </c>
    </row>
    <row r="7" customFormat="false" ht="13" hidden="false" customHeight="false" outlineLevel="0" collapsed="false">
      <c r="A7" s="1" t="s">
        <v>1545</v>
      </c>
      <c r="B7" s="1" t="s">
        <v>1546</v>
      </c>
      <c r="C7" s="1" t="s">
        <v>1547</v>
      </c>
      <c r="D7" s="1" t="n">
        <v>4</v>
      </c>
      <c r="E7" s="1" t="s">
        <v>1548</v>
      </c>
      <c r="F7" s="1" t="str">
        <f aca="false">IFERROR(VLOOKUP(C7, threat_intelligence A:B, 2, 0), "Not Exploited")</f>
        <v>Not Exploited</v>
      </c>
      <c r="G7" s="1"/>
      <c r="H7" s="31" t="s">
        <v>1549</v>
      </c>
      <c r="I7" s="31" t="n">
        <f aca="false">COUNTIFS(E:E,H7,D:D,"&gt;7")</f>
        <v>13</v>
      </c>
      <c r="J7" s="31" t="n">
        <f aca="false">COUNTIF(E:E,H7)</f>
        <v>58</v>
      </c>
      <c r="K7" s="32" t="n">
        <f aca="false">I7/J7</f>
        <v>0.224137931034483</v>
      </c>
    </row>
    <row r="8" customFormat="false" ht="13" hidden="false" customHeight="false" outlineLevel="0" collapsed="false">
      <c r="A8" s="1" t="s">
        <v>1550</v>
      </c>
      <c r="B8" s="1" t="s">
        <v>1551</v>
      </c>
      <c r="C8" s="1" t="s">
        <v>1552</v>
      </c>
      <c r="D8" s="1" t="n">
        <v>1</v>
      </c>
      <c r="E8" s="1" t="s">
        <v>1538</v>
      </c>
      <c r="F8" s="1" t="str">
        <f aca="false">IFERROR(VLOOKUP(C8, threat_intelligence A:B, 2, 0), "Not Exploited")</f>
        <v>Not Exploited</v>
      </c>
      <c r="G8" s="1"/>
      <c r="H8" s="31" t="s">
        <v>1548</v>
      </c>
      <c r="I8" s="31" t="n">
        <f aca="false">COUNTIFS(E:E,H8,D:D,"&gt;7")</f>
        <v>16</v>
      </c>
      <c r="J8" s="31" t="n">
        <f aca="false">COUNTIF(E:E,H8)</f>
        <v>66</v>
      </c>
      <c r="K8" s="32" t="n">
        <f aca="false">I8/J8</f>
        <v>0.242424242424242</v>
      </c>
    </row>
    <row r="9" customFormat="false" ht="13" hidden="false" customHeight="false" outlineLevel="0" collapsed="false">
      <c r="A9" s="1" t="s">
        <v>1553</v>
      </c>
      <c r="B9" s="1" t="s">
        <v>1554</v>
      </c>
      <c r="C9" s="1" t="s">
        <v>1555</v>
      </c>
      <c r="D9" s="1" t="n">
        <v>9</v>
      </c>
      <c r="E9" s="1" t="s">
        <v>1548</v>
      </c>
      <c r="F9" s="1" t="str">
        <f aca="false">IFERROR(VLOOKUP(C9, threat_intelligence A:B, 2, 0), "Not Exploited")</f>
        <v>Not Exploited</v>
      </c>
      <c r="G9" s="1"/>
      <c r="H9" s="33"/>
      <c r="I9" s="33"/>
      <c r="J9" s="33"/>
      <c r="K9" s="33"/>
    </row>
    <row r="10" customFormat="false" ht="13" hidden="false" customHeight="false" outlineLevel="0" collapsed="false">
      <c r="A10" s="1" t="s">
        <v>1556</v>
      </c>
      <c r="B10" s="1" t="s">
        <v>1557</v>
      </c>
      <c r="C10" s="1" t="s">
        <v>1558</v>
      </c>
      <c r="D10" s="1" t="n">
        <v>6</v>
      </c>
      <c r="E10" s="1" t="s">
        <v>1530</v>
      </c>
      <c r="F10" s="1" t="str">
        <f aca="false">IFERROR(VLOOKUP(C10, threat_intelligence A:B, 2, 0), "Not Exploited")</f>
        <v>Not Exploited</v>
      </c>
      <c r="G10" s="1"/>
      <c r="H10" s="27" t="s">
        <v>1559</v>
      </c>
      <c r="I10" s="28" t="n">
        <f aca="false">SUM(I4:I8)</f>
        <v>75</v>
      </c>
      <c r="J10" s="29" t="n">
        <f aca="false">SUM(J4:J8)</f>
        <v>300</v>
      </c>
      <c r="K10" s="30" t="n">
        <f aca="false">I10/J10</f>
        <v>0.25</v>
      </c>
    </row>
    <row r="11" customFormat="false" ht="13" hidden="false" customHeight="false" outlineLevel="0" collapsed="false">
      <c r="A11" s="1" t="s">
        <v>1560</v>
      </c>
      <c r="B11" s="1" t="s">
        <v>1561</v>
      </c>
      <c r="C11" s="1" t="s">
        <v>1562</v>
      </c>
      <c r="D11" s="1" t="n">
        <v>2</v>
      </c>
      <c r="E11" s="1" t="s">
        <v>1538</v>
      </c>
      <c r="F11" s="1" t="str">
        <f aca="false">IFERROR(VLOOKUP(C11, threat_intelligence A:B, 2, 0), "Not Exploited")</f>
        <v>Not Exploited</v>
      </c>
      <c r="G11" s="1"/>
    </row>
    <row r="12" customFormat="false" ht="13" hidden="false" customHeight="false" outlineLevel="0" collapsed="false">
      <c r="A12" s="1" t="s">
        <v>1563</v>
      </c>
      <c r="B12" s="1" t="s">
        <v>1564</v>
      </c>
      <c r="C12" s="1" t="s">
        <v>1565</v>
      </c>
      <c r="D12" s="1" t="n">
        <v>9</v>
      </c>
      <c r="E12" s="1" t="s">
        <v>1549</v>
      </c>
      <c r="F12" s="1" t="str">
        <f aca="false">IFERROR(VLOOKUP(C12, threat_intelligence A:B, 2, 0), "Not Exploited")</f>
        <v>Not Exploited</v>
      </c>
      <c r="G12" s="1"/>
      <c r="H12" s="34" t="s">
        <v>1566</v>
      </c>
      <c r="I12" s="34"/>
    </row>
    <row r="13" customFormat="false" ht="13" hidden="false" customHeight="false" outlineLevel="0" collapsed="false">
      <c r="A13" s="1" t="s">
        <v>1567</v>
      </c>
      <c r="B13" s="1" t="s">
        <v>1568</v>
      </c>
      <c r="C13" s="1" t="s">
        <v>1569</v>
      </c>
      <c r="D13" s="1" t="n">
        <v>8</v>
      </c>
      <c r="E13" s="1" t="s">
        <v>1526</v>
      </c>
      <c r="F13" s="1" t="str">
        <f aca="false">IFERROR(VLOOKUP(C13, threat_intelligence A:B, 2, 0), "Not Exploited")</f>
        <v>Not Exploited</v>
      </c>
      <c r="G13" s="1"/>
      <c r="H13" s="35" t="s">
        <v>1570</v>
      </c>
      <c r="I13" s="36" t="n">
        <f aca="false">COUNTIF(F:F,"Not Exploited")</f>
        <v>300</v>
      </c>
    </row>
    <row r="14" customFormat="false" ht="13" hidden="false" customHeight="false" outlineLevel="0" collapsed="false">
      <c r="A14" s="1" t="s">
        <v>1571</v>
      </c>
      <c r="B14" s="1" t="s">
        <v>1572</v>
      </c>
      <c r="C14" s="1" t="s">
        <v>1573</v>
      </c>
      <c r="D14" s="1" t="n">
        <v>7</v>
      </c>
      <c r="E14" s="1" t="s">
        <v>1538</v>
      </c>
      <c r="F14" s="1" t="str">
        <f aca="false">IFERROR(VLOOKUP(C14, threat_intelligence A:B, 2, 0), "Not Exploited")</f>
        <v>Not Exploited</v>
      </c>
      <c r="G14" s="1"/>
      <c r="H14" s="37" t="s">
        <v>1574</v>
      </c>
      <c r="I14" s="38" t="n">
        <f aca="false">COUNTA(F:F)-I13-1</f>
        <v>0</v>
      </c>
    </row>
    <row r="15" customFormat="false" ht="13" hidden="false" customHeight="false" outlineLevel="0" collapsed="false">
      <c r="A15" s="1" t="s">
        <v>1575</v>
      </c>
      <c r="B15" s="1" t="s">
        <v>1576</v>
      </c>
      <c r="C15" s="1" t="s">
        <v>1577</v>
      </c>
      <c r="D15" s="1" t="n">
        <v>3</v>
      </c>
      <c r="E15" s="1" t="s">
        <v>1530</v>
      </c>
      <c r="F15" s="1" t="str">
        <f aca="false">IFERROR(VLOOKUP(C15, threat_intelligence A:B, 2, 0), "Not Exploited")</f>
        <v>Not Exploited</v>
      </c>
      <c r="G15" s="1"/>
    </row>
    <row r="16" customFormat="false" ht="13" hidden="false" customHeight="false" outlineLevel="0" collapsed="false">
      <c r="A16" s="1" t="s">
        <v>1578</v>
      </c>
      <c r="B16" s="1" t="s">
        <v>1579</v>
      </c>
      <c r="C16" s="1" t="s">
        <v>1580</v>
      </c>
      <c r="D16" s="1" t="n">
        <v>9</v>
      </c>
      <c r="E16" s="1" t="s">
        <v>1538</v>
      </c>
      <c r="F16" s="1" t="str">
        <f aca="false">IFERROR(VLOOKUP(C16, threat_intelligence A:B, 2, 0), "Not Exploited")</f>
        <v>Not Exploited</v>
      </c>
      <c r="G16" s="1"/>
    </row>
    <row r="17" customFormat="false" ht="13" hidden="false" customHeight="false" outlineLevel="0" collapsed="false">
      <c r="A17" s="1" t="s">
        <v>1581</v>
      </c>
      <c r="B17" s="1" t="s">
        <v>1582</v>
      </c>
      <c r="C17" s="1" t="s">
        <v>1583</v>
      </c>
      <c r="D17" s="1" t="n">
        <v>1</v>
      </c>
      <c r="E17" s="1" t="s">
        <v>1548</v>
      </c>
      <c r="F17" s="1" t="str">
        <f aca="false">IFERROR(VLOOKUP(C17, threat_intelligence A:B, 2, 0), "Not Exploited")</f>
        <v>Not Exploited</v>
      </c>
      <c r="G17" s="1"/>
    </row>
    <row r="18" customFormat="false" ht="13" hidden="false" customHeight="false" outlineLevel="0" collapsed="false">
      <c r="A18" s="1" t="s">
        <v>1584</v>
      </c>
      <c r="B18" s="1" t="s">
        <v>1585</v>
      </c>
      <c r="C18" s="1" t="s">
        <v>1586</v>
      </c>
      <c r="D18" s="1" t="n">
        <v>2</v>
      </c>
      <c r="E18" s="1" t="s">
        <v>1549</v>
      </c>
      <c r="F18" s="1" t="str">
        <f aca="false">IFERROR(VLOOKUP(C18, threat_intelligence A:B, 2, 0), "Not Exploited")</f>
        <v>Not Exploited</v>
      </c>
      <c r="G18" s="1"/>
    </row>
    <row r="19" customFormat="false" ht="13" hidden="false" customHeight="false" outlineLevel="0" collapsed="false">
      <c r="A19" s="1" t="s">
        <v>1587</v>
      </c>
      <c r="B19" s="1" t="s">
        <v>1588</v>
      </c>
      <c r="C19" s="1" t="s">
        <v>1589</v>
      </c>
      <c r="D19" s="1" t="n">
        <v>8</v>
      </c>
      <c r="E19" s="1" t="s">
        <v>1538</v>
      </c>
      <c r="F19" s="1" t="str">
        <f aca="false">IFERROR(VLOOKUP(C19, threat_intelligence A:B, 2, 0), "Not Exploited")</f>
        <v>Not Exploited</v>
      </c>
      <c r="G19" s="1"/>
    </row>
    <row r="20" customFormat="false" ht="13" hidden="false" customHeight="false" outlineLevel="0" collapsed="false">
      <c r="A20" s="1" t="s">
        <v>1590</v>
      </c>
      <c r="B20" s="1" t="s">
        <v>1591</v>
      </c>
      <c r="C20" s="1" t="s">
        <v>1592</v>
      </c>
      <c r="D20" s="1" t="n">
        <v>1</v>
      </c>
      <c r="E20" s="1" t="s">
        <v>1526</v>
      </c>
      <c r="F20" s="1" t="str">
        <f aca="false">IFERROR(VLOOKUP(C20, threat_intelligence A:B, 2, 0), "Not Exploited")</f>
        <v>Not Exploited</v>
      </c>
      <c r="G20" s="1"/>
    </row>
    <row r="21" customFormat="false" ht="13" hidden="false" customHeight="false" outlineLevel="0" collapsed="false">
      <c r="A21" s="1" t="s">
        <v>1593</v>
      </c>
      <c r="B21" s="1" t="s">
        <v>1594</v>
      </c>
      <c r="C21" s="1" t="s">
        <v>1595</v>
      </c>
      <c r="D21" s="1" t="n">
        <v>3</v>
      </c>
      <c r="E21" s="1" t="s">
        <v>1548</v>
      </c>
      <c r="F21" s="1" t="str">
        <f aca="false">IFERROR(VLOOKUP(C21, threat_intelligence A:B, 2, 0), "Not Exploited")</f>
        <v>Not Exploited</v>
      </c>
      <c r="G21" s="1"/>
    </row>
    <row r="22" customFormat="false" ht="13" hidden="false" customHeight="false" outlineLevel="0" collapsed="false">
      <c r="A22" s="1" t="s">
        <v>1596</v>
      </c>
      <c r="B22" s="1" t="s">
        <v>1597</v>
      </c>
      <c r="C22" s="1" t="s">
        <v>1598</v>
      </c>
      <c r="D22" s="1" t="n">
        <v>3</v>
      </c>
      <c r="E22" s="1" t="s">
        <v>1530</v>
      </c>
      <c r="F22" s="1" t="str">
        <f aca="false">IFERROR(VLOOKUP(C22, threat_intelligence A:B, 2, 0), "Not Exploited")</f>
        <v>Not Exploited</v>
      </c>
      <c r="G22" s="1"/>
    </row>
    <row r="23" customFormat="false" ht="13" hidden="false" customHeight="false" outlineLevel="0" collapsed="false">
      <c r="A23" s="1" t="s">
        <v>1599</v>
      </c>
      <c r="B23" s="1" t="s">
        <v>1600</v>
      </c>
      <c r="C23" s="1" t="s">
        <v>1601</v>
      </c>
      <c r="D23" s="1" t="n">
        <v>9</v>
      </c>
      <c r="E23" s="1" t="s">
        <v>1548</v>
      </c>
      <c r="F23" s="1" t="str">
        <f aca="false">IFERROR(VLOOKUP(C23, threat_intelligence A:B, 2, 0), "Not Exploited")</f>
        <v>Not Exploited</v>
      </c>
      <c r="G23" s="1"/>
    </row>
    <row r="24" customFormat="false" ht="13" hidden="false" customHeight="false" outlineLevel="0" collapsed="false">
      <c r="A24" s="1" t="s">
        <v>1602</v>
      </c>
      <c r="B24" s="1" t="s">
        <v>1603</v>
      </c>
      <c r="C24" s="1" t="s">
        <v>1604</v>
      </c>
      <c r="D24" s="1" t="n">
        <v>1</v>
      </c>
      <c r="E24" s="1" t="s">
        <v>1549</v>
      </c>
      <c r="F24" s="1" t="str">
        <f aca="false">IFERROR(VLOOKUP(C24, threat_intelligence A:B, 2, 0), "Not Exploited")</f>
        <v>Not Exploited</v>
      </c>
      <c r="G24" s="1"/>
    </row>
    <row r="25" customFormat="false" ht="13" hidden="false" customHeight="false" outlineLevel="0" collapsed="false">
      <c r="A25" s="1" t="s">
        <v>1605</v>
      </c>
      <c r="B25" s="1" t="s">
        <v>1606</v>
      </c>
      <c r="C25" s="1" t="s">
        <v>1607</v>
      </c>
      <c r="D25" s="1" t="n">
        <v>8</v>
      </c>
      <c r="E25" s="1" t="s">
        <v>1538</v>
      </c>
      <c r="F25" s="1" t="str">
        <f aca="false">IFERROR(VLOOKUP(C25, threat_intelligence A:B, 2, 0), "Not Exploited")</f>
        <v>Not Exploited</v>
      </c>
      <c r="G25" s="1"/>
    </row>
    <row r="26" customFormat="false" ht="13" hidden="false" customHeight="false" outlineLevel="0" collapsed="false">
      <c r="A26" s="1" t="s">
        <v>1608</v>
      </c>
      <c r="B26" s="1" t="s">
        <v>1609</v>
      </c>
      <c r="C26" s="1" t="s">
        <v>1610</v>
      </c>
      <c r="D26" s="1" t="n">
        <v>8</v>
      </c>
      <c r="E26" s="1" t="s">
        <v>1538</v>
      </c>
      <c r="F26" s="1" t="str">
        <f aca="false">IFERROR(VLOOKUP(C26, threat_intelligence A:B, 2, 0), "Not Exploited")</f>
        <v>Not Exploited</v>
      </c>
      <c r="G26" s="1"/>
    </row>
    <row r="27" customFormat="false" ht="13" hidden="false" customHeight="false" outlineLevel="0" collapsed="false">
      <c r="A27" s="1" t="s">
        <v>1611</v>
      </c>
      <c r="B27" s="1" t="s">
        <v>1612</v>
      </c>
      <c r="C27" s="1" t="s">
        <v>1613</v>
      </c>
      <c r="D27" s="1" t="n">
        <v>7</v>
      </c>
      <c r="E27" s="1" t="s">
        <v>1538</v>
      </c>
      <c r="F27" s="1" t="str">
        <f aca="false">IFERROR(VLOOKUP(C27, threat_intelligence A:B, 2, 0), "Not Exploited")</f>
        <v>Not Exploited</v>
      </c>
      <c r="G27" s="1"/>
    </row>
    <row r="28" customFormat="false" ht="13" hidden="false" customHeight="false" outlineLevel="0" collapsed="false">
      <c r="A28" s="1" t="s">
        <v>1614</v>
      </c>
      <c r="B28" s="1" t="s">
        <v>1615</v>
      </c>
      <c r="C28" s="1" t="s">
        <v>1616</v>
      </c>
      <c r="D28" s="1" t="n">
        <v>6</v>
      </c>
      <c r="E28" s="1" t="s">
        <v>1548</v>
      </c>
      <c r="F28" s="1" t="str">
        <f aca="false">IFERROR(VLOOKUP(C28, threat_intelligence A:B, 2, 0), "Not Exploited")</f>
        <v>Not Exploited</v>
      </c>
      <c r="G28" s="1"/>
    </row>
    <row r="29" customFormat="false" ht="13" hidden="false" customHeight="false" outlineLevel="0" collapsed="false">
      <c r="A29" s="1" t="s">
        <v>1617</v>
      </c>
      <c r="B29" s="1" t="s">
        <v>1618</v>
      </c>
      <c r="C29" s="1" t="s">
        <v>1619</v>
      </c>
      <c r="D29" s="1" t="n">
        <v>3</v>
      </c>
      <c r="E29" s="1" t="s">
        <v>1549</v>
      </c>
      <c r="F29" s="1" t="str">
        <f aca="false">IFERROR(VLOOKUP(C29, threat_intelligence A:B, 2, 0), "Not Exploited")</f>
        <v>Not Exploited</v>
      </c>
      <c r="G29" s="1"/>
    </row>
    <row r="30" customFormat="false" ht="13" hidden="false" customHeight="false" outlineLevel="0" collapsed="false">
      <c r="A30" s="1" t="s">
        <v>1620</v>
      </c>
      <c r="B30" s="1" t="s">
        <v>1621</v>
      </c>
      <c r="C30" s="1" t="s">
        <v>1622</v>
      </c>
      <c r="D30" s="1" t="n">
        <v>1</v>
      </c>
      <c r="E30" s="1" t="s">
        <v>1549</v>
      </c>
      <c r="F30" s="1" t="str">
        <f aca="false">IFERROR(VLOOKUP(C30, threat_intelligence A:B, 2, 0), "Not Exploited")</f>
        <v>Not Exploited</v>
      </c>
      <c r="G30" s="1"/>
    </row>
    <row r="31" customFormat="false" ht="13" hidden="false" customHeight="false" outlineLevel="0" collapsed="false">
      <c r="A31" s="1" t="s">
        <v>1623</v>
      </c>
      <c r="B31" s="1" t="s">
        <v>1624</v>
      </c>
      <c r="C31" s="1" t="s">
        <v>1625</v>
      </c>
      <c r="D31" s="1" t="n">
        <v>8</v>
      </c>
      <c r="E31" s="1" t="s">
        <v>1530</v>
      </c>
      <c r="F31" s="1" t="str">
        <f aca="false">IFERROR(VLOOKUP(C31, threat_intelligence A:B, 2, 0), "Not Exploited")</f>
        <v>Not Exploited</v>
      </c>
      <c r="G31" s="1"/>
    </row>
    <row r="32" customFormat="false" ht="13" hidden="false" customHeight="false" outlineLevel="0" collapsed="false">
      <c r="A32" s="1" t="s">
        <v>1626</v>
      </c>
      <c r="B32" s="1" t="s">
        <v>1627</v>
      </c>
      <c r="C32" s="1" t="s">
        <v>1628</v>
      </c>
      <c r="D32" s="1" t="n">
        <v>2</v>
      </c>
      <c r="E32" s="1" t="s">
        <v>1530</v>
      </c>
      <c r="F32" s="1" t="str">
        <f aca="false">IFERROR(VLOOKUP(C32, threat_intelligence A:B, 2, 0), "Not Exploited")</f>
        <v>Not Exploited</v>
      </c>
      <c r="G32" s="1"/>
    </row>
    <row r="33" customFormat="false" ht="13" hidden="false" customHeight="false" outlineLevel="0" collapsed="false">
      <c r="A33" s="1" t="s">
        <v>1629</v>
      </c>
      <c r="B33" s="1" t="s">
        <v>1630</v>
      </c>
      <c r="C33" s="1" t="s">
        <v>1631</v>
      </c>
      <c r="D33" s="1" t="n">
        <v>7</v>
      </c>
      <c r="E33" s="1" t="s">
        <v>1526</v>
      </c>
      <c r="F33" s="1" t="str">
        <f aca="false">IFERROR(VLOOKUP(C33, threat_intelligence A:B, 2, 0), "Not Exploited")</f>
        <v>Not Exploited</v>
      </c>
      <c r="G33" s="1"/>
    </row>
    <row r="34" customFormat="false" ht="13" hidden="false" customHeight="false" outlineLevel="0" collapsed="false">
      <c r="A34" s="1" t="s">
        <v>1632</v>
      </c>
      <c r="B34" s="1" t="s">
        <v>1633</v>
      </c>
      <c r="C34" s="1" t="s">
        <v>1634</v>
      </c>
      <c r="D34" s="1" t="n">
        <v>7</v>
      </c>
      <c r="E34" s="1" t="s">
        <v>1530</v>
      </c>
      <c r="F34" s="1" t="str">
        <f aca="false">IFERROR(VLOOKUP(C34, threat_intelligence A:B, 2, 0), "Not Exploited")</f>
        <v>Not Exploited</v>
      </c>
      <c r="G34" s="1"/>
    </row>
    <row r="35" customFormat="false" ht="13" hidden="false" customHeight="false" outlineLevel="0" collapsed="false">
      <c r="A35" s="1" t="s">
        <v>1635</v>
      </c>
      <c r="B35" s="1" t="s">
        <v>1636</v>
      </c>
      <c r="C35" s="1" t="s">
        <v>1637</v>
      </c>
      <c r="D35" s="1" t="n">
        <v>7</v>
      </c>
      <c r="E35" s="1" t="s">
        <v>1548</v>
      </c>
      <c r="F35" s="1" t="str">
        <f aca="false">IFERROR(VLOOKUP(C35, threat_intelligence A:B, 2, 0), "Not Exploited")</f>
        <v>Not Exploited</v>
      </c>
      <c r="G35" s="1"/>
    </row>
    <row r="36" customFormat="false" ht="13" hidden="false" customHeight="false" outlineLevel="0" collapsed="false">
      <c r="A36" s="1" t="s">
        <v>1638</v>
      </c>
      <c r="B36" s="1" t="s">
        <v>1639</v>
      </c>
      <c r="C36" s="1" t="s">
        <v>1640</v>
      </c>
      <c r="D36" s="1" t="n">
        <v>8</v>
      </c>
      <c r="E36" s="1" t="s">
        <v>1526</v>
      </c>
      <c r="F36" s="1" t="str">
        <f aca="false">IFERROR(VLOOKUP(C36, threat_intelligence A:B, 2, 0), "Not Exploited")</f>
        <v>Not Exploited</v>
      </c>
      <c r="G36" s="1"/>
    </row>
    <row r="37" customFormat="false" ht="13" hidden="false" customHeight="false" outlineLevel="0" collapsed="false">
      <c r="A37" s="1" t="s">
        <v>1641</v>
      </c>
      <c r="B37" s="1" t="s">
        <v>1642</v>
      </c>
      <c r="C37" s="1" t="s">
        <v>1643</v>
      </c>
      <c r="D37" s="1" t="n">
        <v>4</v>
      </c>
      <c r="E37" s="1" t="s">
        <v>1530</v>
      </c>
      <c r="F37" s="1" t="str">
        <f aca="false">IFERROR(VLOOKUP(C37, threat_intelligence A:B, 2, 0), "Not Exploited")</f>
        <v>Not Exploited</v>
      </c>
      <c r="G37" s="1"/>
    </row>
    <row r="38" customFormat="false" ht="13" hidden="false" customHeight="false" outlineLevel="0" collapsed="false">
      <c r="A38" s="1" t="s">
        <v>1644</v>
      </c>
      <c r="B38" s="1" t="s">
        <v>1645</v>
      </c>
      <c r="C38" s="1" t="s">
        <v>1646</v>
      </c>
      <c r="D38" s="1" t="n">
        <v>2</v>
      </c>
      <c r="E38" s="1" t="s">
        <v>1526</v>
      </c>
      <c r="F38" s="1" t="str">
        <f aca="false">IFERROR(VLOOKUP(C38, threat_intelligence A:B, 2, 0), "Not Exploited")</f>
        <v>Not Exploited</v>
      </c>
      <c r="G38" s="1"/>
    </row>
    <row r="39" customFormat="false" ht="13" hidden="false" customHeight="false" outlineLevel="0" collapsed="false">
      <c r="A39" s="1" t="s">
        <v>1647</v>
      </c>
      <c r="B39" s="1" t="s">
        <v>1648</v>
      </c>
      <c r="C39" s="1" t="s">
        <v>1649</v>
      </c>
      <c r="D39" s="1" t="n">
        <v>8</v>
      </c>
      <c r="E39" s="1" t="s">
        <v>1530</v>
      </c>
      <c r="F39" s="1" t="str">
        <f aca="false">IFERROR(VLOOKUP(C39, threat_intelligence A:B, 2, 0), "Not Exploited")</f>
        <v>Not Exploited</v>
      </c>
      <c r="G39" s="1"/>
    </row>
    <row r="40" customFormat="false" ht="13" hidden="false" customHeight="false" outlineLevel="0" collapsed="false">
      <c r="A40" s="1" t="s">
        <v>1650</v>
      </c>
      <c r="B40" s="1" t="s">
        <v>1651</v>
      </c>
      <c r="C40" s="1" t="s">
        <v>1652</v>
      </c>
      <c r="D40" s="1" t="n">
        <v>2</v>
      </c>
      <c r="E40" s="1" t="s">
        <v>1548</v>
      </c>
      <c r="F40" s="1" t="str">
        <f aca="false">IFERROR(VLOOKUP(C40, threat_intelligence A:B, 2, 0), "Not Exploited")</f>
        <v>Not Exploited</v>
      </c>
      <c r="G40" s="1"/>
    </row>
    <row r="41" customFormat="false" ht="13" hidden="false" customHeight="false" outlineLevel="0" collapsed="false">
      <c r="A41" s="1" t="s">
        <v>1653</v>
      </c>
      <c r="B41" s="1" t="s">
        <v>1654</v>
      </c>
      <c r="C41" s="1" t="s">
        <v>1655</v>
      </c>
      <c r="D41" s="1" t="n">
        <v>5</v>
      </c>
      <c r="E41" s="1" t="s">
        <v>1549</v>
      </c>
      <c r="F41" s="1" t="str">
        <f aca="false">IFERROR(VLOOKUP(C41, threat_intelligence A:B, 2, 0), "Not Exploited")</f>
        <v>Not Exploited</v>
      </c>
      <c r="G41" s="1"/>
    </row>
    <row r="42" customFormat="false" ht="13" hidden="false" customHeight="false" outlineLevel="0" collapsed="false">
      <c r="A42" s="1" t="s">
        <v>1656</v>
      </c>
      <c r="B42" s="1" t="s">
        <v>1657</v>
      </c>
      <c r="C42" s="1" t="s">
        <v>1658</v>
      </c>
      <c r="D42" s="1" t="n">
        <v>5</v>
      </c>
      <c r="E42" s="1" t="s">
        <v>1538</v>
      </c>
      <c r="F42" s="1" t="str">
        <f aca="false">IFERROR(VLOOKUP(C42, threat_intelligence A:B, 2, 0), "Not Exploited")</f>
        <v>Not Exploited</v>
      </c>
      <c r="G42" s="1"/>
    </row>
    <row r="43" customFormat="false" ht="13" hidden="false" customHeight="false" outlineLevel="0" collapsed="false">
      <c r="A43" s="1" t="s">
        <v>1659</v>
      </c>
      <c r="B43" s="1" t="s">
        <v>1660</v>
      </c>
      <c r="C43" s="1" t="s">
        <v>1661</v>
      </c>
      <c r="D43" s="1" t="n">
        <v>4</v>
      </c>
      <c r="E43" s="1" t="s">
        <v>1526</v>
      </c>
      <c r="F43" s="1" t="str">
        <f aca="false">IFERROR(VLOOKUP(C43, threat_intelligence A:B, 2, 0), "Not Exploited")</f>
        <v>Not Exploited</v>
      </c>
      <c r="G43" s="1"/>
    </row>
    <row r="44" customFormat="false" ht="13" hidden="false" customHeight="false" outlineLevel="0" collapsed="false">
      <c r="A44" s="1" t="s">
        <v>1662</v>
      </c>
      <c r="B44" s="1" t="s">
        <v>1663</v>
      </c>
      <c r="C44" s="1" t="s">
        <v>1664</v>
      </c>
      <c r="D44" s="1" t="n">
        <v>3</v>
      </c>
      <c r="E44" s="1" t="s">
        <v>1538</v>
      </c>
      <c r="F44" s="1" t="str">
        <f aca="false">IFERROR(VLOOKUP(C44, threat_intelligence A:B, 2, 0), "Not Exploited")</f>
        <v>Not Exploited</v>
      </c>
      <c r="G44" s="1"/>
    </row>
    <row r="45" customFormat="false" ht="13" hidden="false" customHeight="false" outlineLevel="0" collapsed="false">
      <c r="A45" s="1" t="s">
        <v>1665</v>
      </c>
      <c r="B45" s="1" t="s">
        <v>1666</v>
      </c>
      <c r="C45" s="1" t="s">
        <v>1667</v>
      </c>
      <c r="D45" s="1" t="n">
        <v>1</v>
      </c>
      <c r="E45" s="1" t="s">
        <v>1530</v>
      </c>
      <c r="F45" s="1" t="str">
        <f aca="false">IFERROR(VLOOKUP(C45, threat_intelligence A:B, 2, 0), "Not Exploited")</f>
        <v>Not Exploited</v>
      </c>
      <c r="G45" s="1"/>
    </row>
    <row r="46" customFormat="false" ht="13" hidden="false" customHeight="false" outlineLevel="0" collapsed="false">
      <c r="A46" s="1" t="s">
        <v>1668</v>
      </c>
      <c r="B46" s="1" t="s">
        <v>1669</v>
      </c>
      <c r="C46" s="1" t="s">
        <v>1670</v>
      </c>
      <c r="D46" s="1" t="n">
        <v>9</v>
      </c>
      <c r="E46" s="1" t="s">
        <v>1549</v>
      </c>
      <c r="F46" s="1" t="str">
        <f aca="false">IFERROR(VLOOKUP(C46, threat_intelligence A:B, 2, 0), "Not Exploited")</f>
        <v>Not Exploited</v>
      </c>
      <c r="G46" s="1"/>
    </row>
    <row r="47" customFormat="false" ht="13" hidden="false" customHeight="false" outlineLevel="0" collapsed="false">
      <c r="A47" s="1" t="s">
        <v>1671</v>
      </c>
      <c r="B47" s="1" t="s">
        <v>1672</v>
      </c>
      <c r="C47" s="1" t="s">
        <v>1673</v>
      </c>
      <c r="D47" s="1" t="n">
        <v>8</v>
      </c>
      <c r="E47" s="1" t="s">
        <v>1538</v>
      </c>
      <c r="F47" s="1" t="str">
        <f aca="false">IFERROR(VLOOKUP(C47, threat_intelligence A:B, 2, 0), "Not Exploited")</f>
        <v>Not Exploited</v>
      </c>
      <c r="G47" s="1"/>
    </row>
    <row r="48" customFormat="false" ht="13" hidden="false" customHeight="false" outlineLevel="0" collapsed="false">
      <c r="A48" s="1" t="s">
        <v>1674</v>
      </c>
      <c r="B48" s="1" t="s">
        <v>1675</v>
      </c>
      <c r="C48" s="1" t="s">
        <v>1676</v>
      </c>
      <c r="D48" s="1" t="n">
        <v>9</v>
      </c>
      <c r="E48" s="1" t="s">
        <v>1549</v>
      </c>
      <c r="F48" s="1" t="str">
        <f aca="false">IFERROR(VLOOKUP(C48, threat_intelligence A:B, 2, 0), "Not Exploited")</f>
        <v>Not Exploited</v>
      </c>
      <c r="G48" s="1"/>
    </row>
    <row r="49" customFormat="false" ht="13" hidden="false" customHeight="false" outlineLevel="0" collapsed="false">
      <c r="A49" s="1" t="s">
        <v>1677</v>
      </c>
      <c r="B49" s="1" t="s">
        <v>1678</v>
      </c>
      <c r="C49" s="1" t="s">
        <v>1679</v>
      </c>
      <c r="D49" s="1" t="n">
        <v>7</v>
      </c>
      <c r="E49" s="1" t="s">
        <v>1530</v>
      </c>
      <c r="F49" s="1" t="str">
        <f aca="false">IFERROR(VLOOKUP(C49, threat_intelligence A:B, 2, 0), "Not Exploited")</f>
        <v>Not Exploited</v>
      </c>
      <c r="G49" s="1"/>
    </row>
    <row r="50" customFormat="false" ht="13" hidden="false" customHeight="false" outlineLevel="0" collapsed="false">
      <c r="A50" s="1" t="s">
        <v>1680</v>
      </c>
      <c r="B50" s="1" t="s">
        <v>1681</v>
      </c>
      <c r="C50" s="1" t="s">
        <v>1682</v>
      </c>
      <c r="D50" s="1" t="n">
        <v>5</v>
      </c>
      <c r="E50" s="1" t="s">
        <v>1548</v>
      </c>
      <c r="F50" s="1" t="str">
        <f aca="false">IFERROR(VLOOKUP(C50, threat_intelligence A:B, 2, 0), "Not Exploited")</f>
        <v>Not Exploited</v>
      </c>
      <c r="G50" s="1"/>
    </row>
    <row r="51" customFormat="false" ht="13" hidden="false" customHeight="false" outlineLevel="0" collapsed="false">
      <c r="A51" s="1" t="s">
        <v>1683</v>
      </c>
      <c r="B51" s="1" t="s">
        <v>1684</v>
      </c>
      <c r="C51" s="1" t="s">
        <v>1685</v>
      </c>
      <c r="D51" s="1" t="n">
        <v>3</v>
      </c>
      <c r="E51" s="1" t="s">
        <v>1549</v>
      </c>
      <c r="F51" s="1" t="str">
        <f aca="false">IFERROR(VLOOKUP(C51, threat_intelligence A:B, 2, 0), "Not Exploited")</f>
        <v>Not Exploited</v>
      </c>
      <c r="G51" s="1"/>
    </row>
    <row r="52" customFormat="false" ht="13" hidden="false" customHeight="false" outlineLevel="0" collapsed="false">
      <c r="A52" s="1" t="s">
        <v>1686</v>
      </c>
      <c r="B52" s="1" t="s">
        <v>1687</v>
      </c>
      <c r="C52" s="1" t="s">
        <v>1688</v>
      </c>
      <c r="D52" s="1" t="n">
        <v>5</v>
      </c>
      <c r="E52" s="1" t="s">
        <v>1538</v>
      </c>
      <c r="F52" s="1" t="str">
        <f aca="false">IFERROR(VLOOKUP(C52, threat_intelligence A:B, 2, 0), "Not Exploited")</f>
        <v>Not Exploited</v>
      </c>
      <c r="G52" s="1"/>
    </row>
    <row r="53" customFormat="false" ht="13" hidden="false" customHeight="false" outlineLevel="0" collapsed="false">
      <c r="A53" s="1" t="s">
        <v>1689</v>
      </c>
      <c r="B53" s="1" t="s">
        <v>1690</v>
      </c>
      <c r="C53" s="1" t="s">
        <v>1691</v>
      </c>
      <c r="D53" s="1" t="n">
        <v>1</v>
      </c>
      <c r="E53" s="1" t="s">
        <v>1526</v>
      </c>
      <c r="F53" s="1" t="str">
        <f aca="false">IFERROR(VLOOKUP(C53, threat_intelligence A:B, 2, 0), "Not Exploited")</f>
        <v>Not Exploited</v>
      </c>
      <c r="G53" s="1"/>
    </row>
    <row r="54" customFormat="false" ht="13" hidden="false" customHeight="false" outlineLevel="0" collapsed="false">
      <c r="A54" s="1" t="s">
        <v>1692</v>
      </c>
      <c r="B54" s="1" t="s">
        <v>1693</v>
      </c>
      <c r="C54" s="1" t="s">
        <v>1694</v>
      </c>
      <c r="D54" s="1" t="n">
        <v>1</v>
      </c>
      <c r="E54" s="1" t="s">
        <v>1548</v>
      </c>
      <c r="F54" s="1" t="str">
        <f aca="false">IFERROR(VLOOKUP(C54, threat_intelligence A:B, 2, 0), "Not Exploited")</f>
        <v>Not Exploited</v>
      </c>
      <c r="G54" s="1"/>
    </row>
    <row r="55" customFormat="false" ht="13" hidden="false" customHeight="false" outlineLevel="0" collapsed="false">
      <c r="A55" s="1" t="s">
        <v>1695</v>
      </c>
      <c r="B55" s="1" t="s">
        <v>1696</v>
      </c>
      <c r="C55" s="1" t="s">
        <v>1697</v>
      </c>
      <c r="D55" s="1" t="n">
        <v>7</v>
      </c>
      <c r="E55" s="1" t="s">
        <v>1549</v>
      </c>
      <c r="F55" s="1" t="str">
        <f aca="false">IFERROR(VLOOKUP(C55, threat_intelligence A:B, 2, 0), "Not Exploited")</f>
        <v>Not Exploited</v>
      </c>
      <c r="G55" s="1"/>
    </row>
    <row r="56" customFormat="false" ht="13" hidden="false" customHeight="false" outlineLevel="0" collapsed="false">
      <c r="A56" s="1" t="s">
        <v>1698</v>
      </c>
      <c r="B56" s="1" t="s">
        <v>1699</v>
      </c>
      <c r="C56" s="1" t="s">
        <v>1700</v>
      </c>
      <c r="D56" s="1" t="n">
        <v>3</v>
      </c>
      <c r="E56" s="1" t="s">
        <v>1530</v>
      </c>
      <c r="F56" s="1" t="str">
        <f aca="false">IFERROR(VLOOKUP(C56, threat_intelligence A:B, 2, 0), "Not Exploited")</f>
        <v>Not Exploited</v>
      </c>
      <c r="G56" s="1"/>
    </row>
    <row r="57" customFormat="false" ht="13" hidden="false" customHeight="false" outlineLevel="0" collapsed="false">
      <c r="A57" s="1" t="s">
        <v>1701</v>
      </c>
      <c r="B57" s="1" t="s">
        <v>1702</v>
      </c>
      <c r="C57" s="1" t="s">
        <v>1703</v>
      </c>
      <c r="D57" s="1" t="n">
        <v>4</v>
      </c>
      <c r="E57" s="1" t="s">
        <v>1526</v>
      </c>
      <c r="F57" s="1" t="str">
        <f aca="false">IFERROR(VLOOKUP(C57, threat_intelligence A:B, 2, 0), "Not Exploited")</f>
        <v>Not Exploited</v>
      </c>
      <c r="G57" s="1"/>
    </row>
    <row r="58" customFormat="false" ht="13" hidden="false" customHeight="false" outlineLevel="0" collapsed="false">
      <c r="A58" s="1" t="s">
        <v>1704</v>
      </c>
      <c r="B58" s="1" t="s">
        <v>1705</v>
      </c>
      <c r="C58" s="1" t="s">
        <v>1706</v>
      </c>
      <c r="D58" s="1" t="n">
        <v>1</v>
      </c>
      <c r="E58" s="1" t="s">
        <v>1538</v>
      </c>
      <c r="F58" s="1" t="str">
        <f aca="false">IFERROR(VLOOKUP(C58, threat_intelligence A:B, 2, 0), "Not Exploited")</f>
        <v>Not Exploited</v>
      </c>
      <c r="G58" s="1"/>
    </row>
    <row r="59" customFormat="false" ht="13" hidden="false" customHeight="false" outlineLevel="0" collapsed="false">
      <c r="A59" s="1" t="s">
        <v>1707</v>
      </c>
      <c r="B59" s="1" t="s">
        <v>1708</v>
      </c>
      <c r="C59" s="1" t="s">
        <v>1709</v>
      </c>
      <c r="D59" s="1" t="n">
        <v>3</v>
      </c>
      <c r="E59" s="1" t="s">
        <v>1530</v>
      </c>
      <c r="F59" s="1" t="str">
        <f aca="false">IFERROR(VLOOKUP(C59, threat_intelligence A:B, 2, 0), "Not Exploited")</f>
        <v>Not Exploited</v>
      </c>
      <c r="G59" s="1"/>
    </row>
    <row r="60" customFormat="false" ht="13" hidden="false" customHeight="false" outlineLevel="0" collapsed="false">
      <c r="A60" s="1" t="s">
        <v>1710</v>
      </c>
      <c r="B60" s="1" t="s">
        <v>1711</v>
      </c>
      <c r="C60" s="1" t="s">
        <v>1712</v>
      </c>
      <c r="D60" s="1" t="n">
        <v>3</v>
      </c>
      <c r="E60" s="1" t="s">
        <v>1549</v>
      </c>
      <c r="F60" s="1" t="str">
        <f aca="false">IFERROR(VLOOKUP(C60, threat_intelligence A:B, 2, 0), "Not Exploited")</f>
        <v>Not Exploited</v>
      </c>
      <c r="G60" s="1"/>
    </row>
    <row r="61" customFormat="false" ht="13" hidden="false" customHeight="false" outlineLevel="0" collapsed="false">
      <c r="A61" s="1" t="s">
        <v>1713</v>
      </c>
      <c r="B61" s="1" t="s">
        <v>1714</v>
      </c>
      <c r="C61" s="1" t="s">
        <v>1715</v>
      </c>
      <c r="D61" s="1" t="n">
        <v>9</v>
      </c>
      <c r="E61" s="1" t="s">
        <v>1549</v>
      </c>
      <c r="F61" s="1" t="str">
        <f aca="false">IFERROR(VLOOKUP(C61, threat_intelligence A:B, 2, 0), "Not Exploited")</f>
        <v>Not Exploited</v>
      </c>
      <c r="G61" s="1"/>
    </row>
    <row r="62" customFormat="false" ht="13" hidden="false" customHeight="false" outlineLevel="0" collapsed="false">
      <c r="A62" s="1" t="s">
        <v>1716</v>
      </c>
      <c r="B62" s="1" t="s">
        <v>1717</v>
      </c>
      <c r="C62" s="1" t="s">
        <v>1718</v>
      </c>
      <c r="D62" s="1" t="n">
        <v>8</v>
      </c>
      <c r="E62" s="1" t="s">
        <v>1548</v>
      </c>
      <c r="F62" s="1" t="str">
        <f aca="false">IFERROR(VLOOKUP(C62, threat_intelligence A:B, 2, 0), "Not Exploited")</f>
        <v>Not Exploited</v>
      </c>
      <c r="G62" s="1"/>
    </row>
    <row r="63" customFormat="false" ht="13" hidden="false" customHeight="false" outlineLevel="0" collapsed="false">
      <c r="A63" s="1" t="s">
        <v>1719</v>
      </c>
      <c r="B63" s="1" t="s">
        <v>1720</v>
      </c>
      <c r="C63" s="1" t="s">
        <v>1721</v>
      </c>
      <c r="D63" s="1" t="n">
        <v>2</v>
      </c>
      <c r="E63" s="1" t="s">
        <v>1549</v>
      </c>
      <c r="F63" s="1" t="str">
        <f aca="false">IFERROR(VLOOKUP(C63, threat_intelligence A:B, 2, 0), "Not Exploited")</f>
        <v>Not Exploited</v>
      </c>
      <c r="G63" s="1"/>
    </row>
    <row r="64" customFormat="false" ht="13" hidden="false" customHeight="false" outlineLevel="0" collapsed="false">
      <c r="A64" s="1" t="s">
        <v>1722</v>
      </c>
      <c r="B64" s="1" t="s">
        <v>1723</v>
      </c>
      <c r="C64" s="1" t="s">
        <v>1724</v>
      </c>
      <c r="D64" s="1" t="n">
        <v>1</v>
      </c>
      <c r="E64" s="1" t="s">
        <v>1538</v>
      </c>
      <c r="F64" s="1" t="str">
        <f aca="false">IFERROR(VLOOKUP(C64, threat_intelligence A:B, 2, 0), "Not Exploited")</f>
        <v>Not Exploited</v>
      </c>
      <c r="G64" s="1"/>
    </row>
    <row r="65" customFormat="false" ht="13" hidden="false" customHeight="false" outlineLevel="0" collapsed="false">
      <c r="A65" s="1" t="s">
        <v>1725</v>
      </c>
      <c r="B65" s="1" t="s">
        <v>1726</v>
      </c>
      <c r="C65" s="1" t="s">
        <v>1727</v>
      </c>
      <c r="D65" s="1" t="n">
        <v>8</v>
      </c>
      <c r="E65" s="1" t="s">
        <v>1538</v>
      </c>
      <c r="F65" s="1" t="str">
        <f aca="false">IFERROR(VLOOKUP(C65, threat_intelligence A:B, 2, 0), "Not Exploited")</f>
        <v>Not Exploited</v>
      </c>
      <c r="G65" s="1"/>
    </row>
    <row r="66" customFormat="false" ht="13" hidden="false" customHeight="false" outlineLevel="0" collapsed="false">
      <c r="A66" s="1" t="s">
        <v>1728</v>
      </c>
      <c r="B66" s="1" t="s">
        <v>1729</v>
      </c>
      <c r="C66" s="1" t="s">
        <v>1730</v>
      </c>
      <c r="D66" s="1" t="n">
        <v>8</v>
      </c>
      <c r="E66" s="1" t="s">
        <v>1548</v>
      </c>
      <c r="F66" s="1" t="str">
        <f aca="false">IFERROR(VLOOKUP(C66, threat_intelligence A:B, 2, 0), "Not Exploited")</f>
        <v>Not Exploited</v>
      </c>
      <c r="G66" s="1"/>
    </row>
    <row r="67" customFormat="false" ht="13" hidden="false" customHeight="false" outlineLevel="0" collapsed="false">
      <c r="A67" s="1" t="s">
        <v>1731</v>
      </c>
      <c r="B67" s="1" t="s">
        <v>1732</v>
      </c>
      <c r="C67" s="1" t="s">
        <v>1733</v>
      </c>
      <c r="D67" s="1" t="n">
        <v>2</v>
      </c>
      <c r="E67" s="1" t="s">
        <v>1548</v>
      </c>
      <c r="F67" s="1" t="str">
        <f aca="false">IFERROR(VLOOKUP(C67, threat_intelligence A:B, 2, 0), "Not Exploited")</f>
        <v>Not Exploited</v>
      </c>
      <c r="G67" s="1"/>
    </row>
    <row r="68" customFormat="false" ht="13" hidden="false" customHeight="false" outlineLevel="0" collapsed="false">
      <c r="A68" s="1" t="s">
        <v>1734</v>
      </c>
      <c r="B68" s="1" t="s">
        <v>1735</v>
      </c>
      <c r="C68" s="1" t="s">
        <v>1736</v>
      </c>
      <c r="D68" s="1" t="n">
        <v>6</v>
      </c>
      <c r="E68" s="1" t="s">
        <v>1549</v>
      </c>
      <c r="F68" s="1" t="str">
        <f aca="false">IFERROR(VLOOKUP(C68, threat_intelligence A:B, 2, 0), "Not Exploited")</f>
        <v>Not Exploited</v>
      </c>
      <c r="G68" s="1"/>
    </row>
    <row r="69" customFormat="false" ht="13" hidden="false" customHeight="false" outlineLevel="0" collapsed="false">
      <c r="A69" s="1" t="s">
        <v>1737</v>
      </c>
      <c r="B69" s="1" t="s">
        <v>1738</v>
      </c>
      <c r="C69" s="1" t="s">
        <v>1739</v>
      </c>
      <c r="D69" s="1" t="n">
        <v>7</v>
      </c>
      <c r="E69" s="1" t="s">
        <v>1526</v>
      </c>
      <c r="F69" s="1" t="str">
        <f aca="false">IFERROR(VLOOKUP(C69, threat_intelligence A:B, 2, 0), "Not Exploited")</f>
        <v>Not Exploited</v>
      </c>
      <c r="G69" s="1"/>
    </row>
    <row r="70" customFormat="false" ht="13" hidden="false" customHeight="false" outlineLevel="0" collapsed="false">
      <c r="A70" s="1" t="s">
        <v>1740</v>
      </c>
      <c r="B70" s="1" t="s">
        <v>1741</v>
      </c>
      <c r="C70" s="1" t="s">
        <v>1742</v>
      </c>
      <c r="D70" s="1" t="n">
        <v>9</v>
      </c>
      <c r="E70" s="1" t="s">
        <v>1538</v>
      </c>
      <c r="F70" s="1" t="str">
        <f aca="false">IFERROR(VLOOKUP(C70, threat_intelligence A:B, 2, 0), "Not Exploited")</f>
        <v>Not Exploited</v>
      </c>
      <c r="G70" s="1"/>
    </row>
    <row r="71" customFormat="false" ht="13" hidden="false" customHeight="false" outlineLevel="0" collapsed="false">
      <c r="A71" s="1" t="s">
        <v>1743</v>
      </c>
      <c r="B71" s="1" t="s">
        <v>1744</v>
      </c>
      <c r="C71" s="1" t="s">
        <v>1745</v>
      </c>
      <c r="D71" s="1" t="n">
        <v>6</v>
      </c>
      <c r="E71" s="1" t="s">
        <v>1548</v>
      </c>
      <c r="F71" s="1" t="str">
        <f aca="false">IFERROR(VLOOKUP(C71, threat_intelligence A:B, 2, 0), "Not Exploited")</f>
        <v>Not Exploited</v>
      </c>
      <c r="G71" s="1"/>
    </row>
    <row r="72" customFormat="false" ht="13" hidden="false" customHeight="false" outlineLevel="0" collapsed="false">
      <c r="A72" s="1" t="s">
        <v>1746</v>
      </c>
      <c r="B72" s="1" t="s">
        <v>1747</v>
      </c>
      <c r="C72" s="1" t="s">
        <v>1748</v>
      </c>
      <c r="D72" s="1" t="n">
        <v>6</v>
      </c>
      <c r="E72" s="1" t="s">
        <v>1548</v>
      </c>
      <c r="F72" s="1" t="str">
        <f aca="false">IFERROR(VLOOKUP(C72, threat_intelligence A:B, 2, 0), "Not Exploited")</f>
        <v>Not Exploited</v>
      </c>
      <c r="G72" s="1"/>
    </row>
    <row r="73" customFormat="false" ht="13" hidden="false" customHeight="false" outlineLevel="0" collapsed="false">
      <c r="A73" s="1" t="s">
        <v>1749</v>
      </c>
      <c r="B73" s="1" t="s">
        <v>1750</v>
      </c>
      <c r="C73" s="1" t="s">
        <v>1751</v>
      </c>
      <c r="D73" s="1" t="n">
        <v>5</v>
      </c>
      <c r="E73" s="1" t="s">
        <v>1548</v>
      </c>
      <c r="F73" s="1" t="str">
        <f aca="false">IFERROR(VLOOKUP(C73, threat_intelligence A:B, 2, 0), "Not Exploited")</f>
        <v>Not Exploited</v>
      </c>
      <c r="G73" s="1"/>
    </row>
    <row r="74" customFormat="false" ht="13" hidden="false" customHeight="false" outlineLevel="0" collapsed="false">
      <c r="A74" s="1" t="s">
        <v>1752</v>
      </c>
      <c r="B74" s="1" t="s">
        <v>1753</v>
      </c>
      <c r="C74" s="1" t="s">
        <v>1754</v>
      </c>
      <c r="D74" s="1" t="n">
        <v>6</v>
      </c>
      <c r="E74" s="1" t="s">
        <v>1538</v>
      </c>
      <c r="F74" s="1" t="str">
        <f aca="false">IFERROR(VLOOKUP(C74, threat_intelligence A:B, 2, 0), "Not Exploited")</f>
        <v>Not Exploited</v>
      </c>
      <c r="G74" s="1"/>
    </row>
    <row r="75" customFormat="false" ht="13" hidden="false" customHeight="false" outlineLevel="0" collapsed="false">
      <c r="A75" s="1" t="s">
        <v>1755</v>
      </c>
      <c r="B75" s="1" t="s">
        <v>1756</v>
      </c>
      <c r="C75" s="1" t="s">
        <v>1757</v>
      </c>
      <c r="D75" s="1" t="n">
        <v>8</v>
      </c>
      <c r="E75" s="1" t="s">
        <v>1549</v>
      </c>
      <c r="F75" s="1" t="str">
        <f aca="false">IFERROR(VLOOKUP(C75, threat_intelligence A:B, 2, 0), "Not Exploited")</f>
        <v>Not Exploited</v>
      </c>
      <c r="G75" s="1"/>
    </row>
    <row r="76" customFormat="false" ht="13" hidden="false" customHeight="false" outlineLevel="0" collapsed="false">
      <c r="A76" s="1" t="s">
        <v>1758</v>
      </c>
      <c r="B76" s="1" t="s">
        <v>1759</v>
      </c>
      <c r="C76" s="1" t="s">
        <v>1760</v>
      </c>
      <c r="D76" s="1" t="n">
        <v>1</v>
      </c>
      <c r="E76" s="1" t="s">
        <v>1526</v>
      </c>
      <c r="F76" s="1" t="str">
        <f aca="false">IFERROR(VLOOKUP(C76, threat_intelligence A:B, 2, 0), "Not Exploited")</f>
        <v>Not Exploited</v>
      </c>
      <c r="G76" s="1"/>
    </row>
    <row r="77" customFormat="false" ht="13" hidden="false" customHeight="false" outlineLevel="0" collapsed="false">
      <c r="A77" s="1" t="s">
        <v>1761</v>
      </c>
      <c r="B77" s="1" t="s">
        <v>1762</v>
      </c>
      <c r="C77" s="1" t="s">
        <v>1763</v>
      </c>
      <c r="D77" s="1" t="n">
        <v>4</v>
      </c>
      <c r="E77" s="1" t="s">
        <v>1538</v>
      </c>
      <c r="F77" s="1" t="str">
        <f aca="false">IFERROR(VLOOKUP(C77, threat_intelligence A:B, 2, 0), "Not Exploited")</f>
        <v>Not Exploited</v>
      </c>
      <c r="G77" s="1"/>
    </row>
    <row r="78" customFormat="false" ht="13" hidden="false" customHeight="false" outlineLevel="0" collapsed="false">
      <c r="A78" s="1" t="s">
        <v>1764</v>
      </c>
      <c r="B78" s="1" t="s">
        <v>1765</v>
      </c>
      <c r="C78" s="1" t="s">
        <v>1766</v>
      </c>
      <c r="D78" s="1" t="n">
        <v>4</v>
      </c>
      <c r="E78" s="1" t="s">
        <v>1549</v>
      </c>
      <c r="F78" s="1" t="str">
        <f aca="false">IFERROR(VLOOKUP(C78, threat_intelligence A:B, 2, 0), "Not Exploited")</f>
        <v>Not Exploited</v>
      </c>
      <c r="G78" s="1"/>
    </row>
    <row r="79" customFormat="false" ht="13" hidden="false" customHeight="false" outlineLevel="0" collapsed="false">
      <c r="A79" s="1" t="s">
        <v>1767</v>
      </c>
      <c r="B79" s="1" t="s">
        <v>1768</v>
      </c>
      <c r="C79" s="1" t="s">
        <v>1769</v>
      </c>
      <c r="D79" s="1" t="n">
        <v>8</v>
      </c>
      <c r="E79" s="1" t="s">
        <v>1526</v>
      </c>
      <c r="F79" s="1" t="str">
        <f aca="false">IFERROR(VLOOKUP(C79, threat_intelligence A:B, 2, 0), "Not Exploited")</f>
        <v>Not Exploited</v>
      </c>
      <c r="G79" s="1"/>
    </row>
    <row r="80" customFormat="false" ht="13" hidden="false" customHeight="false" outlineLevel="0" collapsed="false">
      <c r="A80" s="1" t="s">
        <v>1770</v>
      </c>
      <c r="B80" s="1" t="s">
        <v>1771</v>
      </c>
      <c r="C80" s="1" t="s">
        <v>1772</v>
      </c>
      <c r="D80" s="1" t="n">
        <v>2</v>
      </c>
      <c r="E80" s="1" t="s">
        <v>1538</v>
      </c>
      <c r="F80" s="1" t="str">
        <f aca="false">IFERROR(VLOOKUP(C80, threat_intelligence A:B, 2, 0), "Not Exploited")</f>
        <v>Not Exploited</v>
      </c>
      <c r="G80" s="1"/>
    </row>
    <row r="81" customFormat="false" ht="13" hidden="false" customHeight="false" outlineLevel="0" collapsed="false">
      <c r="A81" s="1" t="s">
        <v>1773</v>
      </c>
      <c r="B81" s="1" t="s">
        <v>1774</v>
      </c>
      <c r="C81" s="1" t="s">
        <v>1775</v>
      </c>
      <c r="D81" s="1" t="n">
        <v>4</v>
      </c>
      <c r="E81" s="1" t="s">
        <v>1530</v>
      </c>
      <c r="F81" s="1" t="str">
        <f aca="false">IFERROR(VLOOKUP(C81, threat_intelligence A:B, 2, 0), "Not Exploited")</f>
        <v>Not Exploited</v>
      </c>
      <c r="G81" s="1"/>
    </row>
    <row r="82" customFormat="false" ht="13" hidden="false" customHeight="false" outlineLevel="0" collapsed="false">
      <c r="A82" s="1" t="s">
        <v>1776</v>
      </c>
      <c r="B82" s="1" t="s">
        <v>1777</v>
      </c>
      <c r="C82" s="1" t="s">
        <v>1778</v>
      </c>
      <c r="D82" s="1" t="n">
        <v>8</v>
      </c>
      <c r="E82" s="1" t="s">
        <v>1548</v>
      </c>
      <c r="F82" s="1" t="str">
        <f aca="false">IFERROR(VLOOKUP(C82, threat_intelligence A:B, 2, 0), "Not Exploited")</f>
        <v>Not Exploited</v>
      </c>
      <c r="G82" s="1"/>
    </row>
    <row r="83" customFormat="false" ht="13" hidden="false" customHeight="false" outlineLevel="0" collapsed="false">
      <c r="A83" s="1" t="s">
        <v>1779</v>
      </c>
      <c r="B83" s="1" t="s">
        <v>1780</v>
      </c>
      <c r="C83" s="1" t="s">
        <v>1781</v>
      </c>
      <c r="D83" s="1" t="n">
        <v>5</v>
      </c>
      <c r="E83" s="1" t="s">
        <v>1530</v>
      </c>
      <c r="F83" s="1" t="str">
        <f aca="false">IFERROR(VLOOKUP(C83, threat_intelligence A:B, 2, 0), "Not Exploited")</f>
        <v>Not Exploited</v>
      </c>
      <c r="G83" s="1"/>
    </row>
    <row r="84" customFormat="false" ht="13" hidden="false" customHeight="false" outlineLevel="0" collapsed="false">
      <c r="A84" s="1" t="s">
        <v>1782</v>
      </c>
      <c r="B84" s="1" t="s">
        <v>1783</v>
      </c>
      <c r="C84" s="1" t="s">
        <v>1784</v>
      </c>
      <c r="D84" s="1" t="n">
        <v>7</v>
      </c>
      <c r="E84" s="1" t="s">
        <v>1526</v>
      </c>
      <c r="F84" s="1" t="str">
        <f aca="false">IFERROR(VLOOKUP(C84, threat_intelligence A:B, 2, 0), "Not Exploited")</f>
        <v>Not Exploited</v>
      </c>
      <c r="G84" s="1"/>
    </row>
    <row r="85" customFormat="false" ht="13" hidden="false" customHeight="false" outlineLevel="0" collapsed="false">
      <c r="A85" s="1" t="s">
        <v>1785</v>
      </c>
      <c r="B85" s="1" t="s">
        <v>1786</v>
      </c>
      <c r="C85" s="1" t="s">
        <v>1787</v>
      </c>
      <c r="D85" s="1" t="n">
        <v>5</v>
      </c>
      <c r="E85" s="1" t="s">
        <v>1526</v>
      </c>
      <c r="F85" s="1" t="str">
        <f aca="false">IFERROR(VLOOKUP(C85, threat_intelligence A:B, 2, 0), "Not Exploited")</f>
        <v>Not Exploited</v>
      </c>
      <c r="G85" s="1"/>
    </row>
    <row r="86" customFormat="false" ht="13" hidden="false" customHeight="false" outlineLevel="0" collapsed="false">
      <c r="A86" s="1" t="s">
        <v>1788</v>
      </c>
      <c r="B86" s="1" t="s">
        <v>1789</v>
      </c>
      <c r="C86" s="1" t="s">
        <v>1790</v>
      </c>
      <c r="D86" s="1" t="n">
        <v>1</v>
      </c>
      <c r="E86" s="1" t="s">
        <v>1549</v>
      </c>
      <c r="F86" s="1" t="str">
        <f aca="false">IFERROR(VLOOKUP(C86, threat_intelligence A:B, 2, 0), "Not Exploited")</f>
        <v>Not Exploited</v>
      </c>
      <c r="G86" s="1"/>
    </row>
    <row r="87" customFormat="false" ht="13" hidden="false" customHeight="false" outlineLevel="0" collapsed="false">
      <c r="A87" s="1" t="s">
        <v>1791</v>
      </c>
      <c r="B87" s="1" t="s">
        <v>1792</v>
      </c>
      <c r="C87" s="1" t="s">
        <v>1793</v>
      </c>
      <c r="D87" s="1" t="n">
        <v>1</v>
      </c>
      <c r="E87" s="1" t="s">
        <v>1549</v>
      </c>
      <c r="F87" s="1" t="str">
        <f aca="false">IFERROR(VLOOKUP(C87, threat_intelligence A:B, 2, 0), "Not Exploited")</f>
        <v>Not Exploited</v>
      </c>
      <c r="G87" s="1"/>
    </row>
    <row r="88" customFormat="false" ht="13" hidden="false" customHeight="false" outlineLevel="0" collapsed="false">
      <c r="A88" s="1" t="s">
        <v>1794</v>
      </c>
      <c r="B88" s="1" t="s">
        <v>1795</v>
      </c>
      <c r="C88" s="1" t="s">
        <v>1796</v>
      </c>
      <c r="D88" s="1" t="n">
        <v>9</v>
      </c>
      <c r="E88" s="1" t="s">
        <v>1549</v>
      </c>
      <c r="F88" s="1" t="str">
        <f aca="false">IFERROR(VLOOKUP(C88, threat_intelligence A:B, 2, 0), "Not Exploited")</f>
        <v>Not Exploited</v>
      </c>
      <c r="G88" s="1"/>
    </row>
    <row r="89" customFormat="false" ht="13" hidden="false" customHeight="false" outlineLevel="0" collapsed="false">
      <c r="A89" s="1" t="s">
        <v>1797</v>
      </c>
      <c r="B89" s="1" t="s">
        <v>1798</v>
      </c>
      <c r="C89" s="1" t="s">
        <v>1799</v>
      </c>
      <c r="D89" s="1" t="n">
        <v>8</v>
      </c>
      <c r="E89" s="1" t="s">
        <v>1530</v>
      </c>
      <c r="F89" s="1" t="str">
        <f aca="false">IFERROR(VLOOKUP(C89, threat_intelligence A:B, 2, 0), "Not Exploited")</f>
        <v>Not Exploited</v>
      </c>
      <c r="G89" s="1"/>
    </row>
    <row r="90" customFormat="false" ht="13" hidden="false" customHeight="false" outlineLevel="0" collapsed="false">
      <c r="A90" s="1" t="s">
        <v>1800</v>
      </c>
      <c r="B90" s="1" t="s">
        <v>1801</v>
      </c>
      <c r="C90" s="1" t="s">
        <v>1802</v>
      </c>
      <c r="D90" s="1" t="n">
        <v>7</v>
      </c>
      <c r="E90" s="1" t="s">
        <v>1548</v>
      </c>
      <c r="F90" s="1" t="str">
        <f aca="false">IFERROR(VLOOKUP(C90, threat_intelligence A:B, 2, 0), "Not Exploited")</f>
        <v>Not Exploited</v>
      </c>
      <c r="G90" s="1"/>
    </row>
    <row r="91" customFormat="false" ht="13" hidden="false" customHeight="false" outlineLevel="0" collapsed="false">
      <c r="A91" s="1" t="s">
        <v>1803</v>
      </c>
      <c r="B91" s="1" t="s">
        <v>1804</v>
      </c>
      <c r="C91" s="1" t="s">
        <v>1805</v>
      </c>
      <c r="D91" s="1" t="n">
        <v>7</v>
      </c>
      <c r="E91" s="1" t="s">
        <v>1548</v>
      </c>
      <c r="F91" s="1" t="str">
        <f aca="false">IFERROR(VLOOKUP(C91, threat_intelligence A:B, 2, 0), "Not Exploited")</f>
        <v>Not Exploited</v>
      </c>
      <c r="G91" s="1"/>
    </row>
    <row r="92" customFormat="false" ht="13" hidden="false" customHeight="false" outlineLevel="0" collapsed="false">
      <c r="A92" s="1" t="s">
        <v>1806</v>
      </c>
      <c r="B92" s="1" t="s">
        <v>1807</v>
      </c>
      <c r="C92" s="1" t="s">
        <v>1808</v>
      </c>
      <c r="D92" s="1" t="n">
        <v>9</v>
      </c>
      <c r="E92" s="1" t="s">
        <v>1549</v>
      </c>
      <c r="F92" s="1" t="str">
        <f aca="false">IFERROR(VLOOKUP(C92, threat_intelligence A:B, 2, 0), "Not Exploited")</f>
        <v>Not Exploited</v>
      </c>
      <c r="G92" s="1"/>
    </row>
    <row r="93" customFormat="false" ht="13" hidden="false" customHeight="false" outlineLevel="0" collapsed="false">
      <c r="A93" s="1" t="s">
        <v>1809</v>
      </c>
      <c r="B93" s="1" t="s">
        <v>1810</v>
      </c>
      <c r="C93" s="1" t="s">
        <v>1811</v>
      </c>
      <c r="D93" s="1" t="n">
        <v>9</v>
      </c>
      <c r="E93" s="1" t="s">
        <v>1530</v>
      </c>
      <c r="F93" s="1" t="str">
        <f aca="false">IFERROR(VLOOKUP(C93, threat_intelligence A:B, 2, 0), "Not Exploited")</f>
        <v>Not Exploited</v>
      </c>
      <c r="G93" s="1"/>
    </row>
    <row r="94" customFormat="false" ht="13" hidden="false" customHeight="false" outlineLevel="0" collapsed="false">
      <c r="A94" s="1" t="s">
        <v>1812</v>
      </c>
      <c r="B94" s="1" t="s">
        <v>1813</v>
      </c>
      <c r="C94" s="1" t="s">
        <v>1814</v>
      </c>
      <c r="D94" s="1" t="n">
        <v>2</v>
      </c>
      <c r="E94" s="1" t="s">
        <v>1526</v>
      </c>
      <c r="F94" s="1" t="str">
        <f aca="false">IFERROR(VLOOKUP(C94, threat_intelligence A:B, 2, 0), "Not Exploited")</f>
        <v>Not Exploited</v>
      </c>
      <c r="G94" s="1"/>
    </row>
    <row r="95" customFormat="false" ht="13" hidden="false" customHeight="false" outlineLevel="0" collapsed="false">
      <c r="A95" s="1" t="s">
        <v>1815</v>
      </c>
      <c r="B95" s="1" t="s">
        <v>1816</v>
      </c>
      <c r="C95" s="1" t="s">
        <v>1817</v>
      </c>
      <c r="D95" s="1" t="n">
        <v>2</v>
      </c>
      <c r="E95" s="1" t="s">
        <v>1530</v>
      </c>
      <c r="F95" s="1" t="str">
        <f aca="false">IFERROR(VLOOKUP(C95, threat_intelligence A:B, 2, 0), "Not Exploited")</f>
        <v>Not Exploited</v>
      </c>
      <c r="G95" s="1"/>
    </row>
    <row r="96" customFormat="false" ht="13" hidden="false" customHeight="false" outlineLevel="0" collapsed="false">
      <c r="A96" s="1" t="s">
        <v>1818</v>
      </c>
      <c r="B96" s="1" t="s">
        <v>1819</v>
      </c>
      <c r="C96" s="1" t="s">
        <v>1820</v>
      </c>
      <c r="D96" s="1" t="n">
        <v>8</v>
      </c>
      <c r="E96" s="1" t="s">
        <v>1530</v>
      </c>
      <c r="F96" s="1" t="str">
        <f aca="false">IFERROR(VLOOKUP(C96, threat_intelligence A:B, 2, 0), "Not Exploited")</f>
        <v>Not Exploited</v>
      </c>
      <c r="G96" s="1"/>
    </row>
    <row r="97" customFormat="false" ht="13" hidden="false" customHeight="false" outlineLevel="0" collapsed="false">
      <c r="A97" s="1" t="s">
        <v>1821</v>
      </c>
      <c r="B97" s="1" t="s">
        <v>1822</v>
      </c>
      <c r="C97" s="1" t="s">
        <v>1823</v>
      </c>
      <c r="D97" s="1" t="n">
        <v>2</v>
      </c>
      <c r="E97" s="1" t="s">
        <v>1548</v>
      </c>
      <c r="F97" s="1" t="str">
        <f aca="false">IFERROR(VLOOKUP(C97, threat_intelligence A:B, 2, 0), "Not Exploited")</f>
        <v>Not Exploited</v>
      </c>
      <c r="G97" s="1"/>
    </row>
    <row r="98" customFormat="false" ht="13" hidden="false" customHeight="false" outlineLevel="0" collapsed="false">
      <c r="A98" s="1" t="s">
        <v>1824</v>
      </c>
      <c r="B98" s="1" t="s">
        <v>1825</v>
      </c>
      <c r="C98" s="1" t="s">
        <v>1826</v>
      </c>
      <c r="D98" s="1" t="n">
        <v>5</v>
      </c>
      <c r="E98" s="1" t="s">
        <v>1530</v>
      </c>
      <c r="F98" s="1" t="str">
        <f aca="false">IFERROR(VLOOKUP(C98, threat_intelligence A:B, 2, 0), "Not Exploited")</f>
        <v>Not Exploited</v>
      </c>
      <c r="G98" s="1"/>
    </row>
    <row r="99" customFormat="false" ht="13" hidden="false" customHeight="false" outlineLevel="0" collapsed="false">
      <c r="A99" s="1" t="s">
        <v>1827</v>
      </c>
      <c r="B99" s="1" t="s">
        <v>1828</v>
      </c>
      <c r="C99" s="1" t="s">
        <v>1829</v>
      </c>
      <c r="D99" s="1" t="n">
        <v>7</v>
      </c>
      <c r="E99" s="1" t="s">
        <v>1548</v>
      </c>
      <c r="F99" s="1" t="str">
        <f aca="false">IFERROR(VLOOKUP(C99, threat_intelligence A:B, 2, 0), "Not Exploited")</f>
        <v>Not Exploited</v>
      </c>
      <c r="G99" s="1"/>
    </row>
    <row r="100" customFormat="false" ht="13" hidden="false" customHeight="false" outlineLevel="0" collapsed="false">
      <c r="A100" s="1" t="s">
        <v>1830</v>
      </c>
      <c r="B100" s="1" t="s">
        <v>1831</v>
      </c>
      <c r="C100" s="1" t="s">
        <v>1832</v>
      </c>
      <c r="D100" s="1" t="n">
        <v>2</v>
      </c>
      <c r="E100" s="1" t="s">
        <v>1538</v>
      </c>
      <c r="F100" s="1" t="str">
        <f aca="false">IFERROR(VLOOKUP(C100, threat_intelligence A:B, 2, 0), "Not Exploited")</f>
        <v>Not Exploited</v>
      </c>
      <c r="G100" s="1"/>
    </row>
    <row r="101" customFormat="false" ht="13" hidden="false" customHeight="false" outlineLevel="0" collapsed="false">
      <c r="A101" s="1" t="s">
        <v>1833</v>
      </c>
      <c r="B101" s="1" t="s">
        <v>1834</v>
      </c>
      <c r="C101" s="1" t="s">
        <v>1835</v>
      </c>
      <c r="D101" s="1" t="n">
        <v>9</v>
      </c>
      <c r="E101" s="1" t="s">
        <v>1530</v>
      </c>
      <c r="F101" s="1" t="str">
        <f aca="false">IFERROR(VLOOKUP(C101, threat_intelligence A:B, 2, 0), "Not Exploited")</f>
        <v>Not Exploited</v>
      </c>
      <c r="G101" s="1"/>
    </row>
    <row r="102" customFormat="false" ht="13" hidden="false" customHeight="false" outlineLevel="0" collapsed="false">
      <c r="A102" s="1" t="s">
        <v>1836</v>
      </c>
      <c r="B102" s="1" t="s">
        <v>1837</v>
      </c>
      <c r="C102" s="1" t="s">
        <v>1838</v>
      </c>
      <c r="D102" s="1" t="n">
        <v>9</v>
      </c>
      <c r="E102" s="1" t="s">
        <v>1549</v>
      </c>
      <c r="F102" s="1" t="str">
        <f aca="false">IFERROR(VLOOKUP(C102, threat_intelligence A:B, 2, 0), "Not Exploited")</f>
        <v>Not Exploited</v>
      </c>
      <c r="G102" s="1"/>
    </row>
    <row r="103" customFormat="false" ht="13" hidden="false" customHeight="false" outlineLevel="0" collapsed="false">
      <c r="A103" s="1" t="s">
        <v>1839</v>
      </c>
      <c r="B103" s="1" t="s">
        <v>1840</v>
      </c>
      <c r="C103" s="1" t="s">
        <v>1841</v>
      </c>
      <c r="D103" s="1" t="n">
        <v>3</v>
      </c>
      <c r="E103" s="1" t="s">
        <v>1538</v>
      </c>
      <c r="F103" s="1" t="str">
        <f aca="false">IFERROR(VLOOKUP(C103, threat_intelligence A:B, 2, 0), "Not Exploited")</f>
        <v>Not Exploited</v>
      </c>
      <c r="G103" s="1"/>
    </row>
    <row r="104" customFormat="false" ht="13" hidden="false" customHeight="false" outlineLevel="0" collapsed="false">
      <c r="A104" s="1" t="s">
        <v>1842</v>
      </c>
      <c r="B104" s="1" t="s">
        <v>1843</v>
      </c>
      <c r="C104" s="1" t="s">
        <v>1844</v>
      </c>
      <c r="D104" s="1" t="n">
        <v>3</v>
      </c>
      <c r="E104" s="1" t="s">
        <v>1538</v>
      </c>
      <c r="F104" s="1" t="str">
        <f aca="false">IFERROR(VLOOKUP(C104, threat_intelligence A:B, 2, 0), "Not Exploited")</f>
        <v>Not Exploited</v>
      </c>
      <c r="G104" s="1"/>
    </row>
    <row r="105" customFormat="false" ht="13" hidden="false" customHeight="false" outlineLevel="0" collapsed="false">
      <c r="A105" s="1" t="s">
        <v>1845</v>
      </c>
      <c r="B105" s="1" t="s">
        <v>1846</v>
      </c>
      <c r="C105" s="1" t="s">
        <v>1847</v>
      </c>
      <c r="D105" s="1" t="n">
        <v>1</v>
      </c>
      <c r="E105" s="1" t="s">
        <v>1538</v>
      </c>
      <c r="F105" s="1" t="str">
        <f aca="false">IFERROR(VLOOKUP(C105, threat_intelligence A:B, 2, 0), "Not Exploited")</f>
        <v>Not Exploited</v>
      </c>
      <c r="G105" s="1"/>
    </row>
    <row r="106" customFormat="false" ht="13" hidden="false" customHeight="false" outlineLevel="0" collapsed="false">
      <c r="A106" s="1" t="s">
        <v>1848</v>
      </c>
      <c r="B106" s="1" t="s">
        <v>1849</v>
      </c>
      <c r="C106" s="1" t="s">
        <v>1850</v>
      </c>
      <c r="D106" s="1" t="n">
        <v>7</v>
      </c>
      <c r="E106" s="1" t="s">
        <v>1530</v>
      </c>
      <c r="F106" s="1" t="str">
        <f aca="false">IFERROR(VLOOKUP(C106, threat_intelligence A:B, 2, 0), "Not Exploited")</f>
        <v>Not Exploited</v>
      </c>
      <c r="G106" s="1"/>
    </row>
    <row r="107" customFormat="false" ht="13" hidden="false" customHeight="false" outlineLevel="0" collapsed="false">
      <c r="A107" s="1" t="s">
        <v>1851</v>
      </c>
      <c r="B107" s="1" t="s">
        <v>1852</v>
      </c>
      <c r="C107" s="1" t="s">
        <v>1853</v>
      </c>
      <c r="D107" s="1" t="n">
        <v>9</v>
      </c>
      <c r="E107" s="1" t="s">
        <v>1526</v>
      </c>
      <c r="F107" s="1" t="str">
        <f aca="false">IFERROR(VLOOKUP(C107, threat_intelligence A:B, 2, 0), "Not Exploited")</f>
        <v>Not Exploited</v>
      </c>
      <c r="G107" s="1"/>
    </row>
    <row r="108" customFormat="false" ht="13" hidden="false" customHeight="false" outlineLevel="0" collapsed="false">
      <c r="A108" s="1" t="s">
        <v>1854</v>
      </c>
      <c r="B108" s="1" t="s">
        <v>1855</v>
      </c>
      <c r="C108" s="1" t="s">
        <v>1856</v>
      </c>
      <c r="D108" s="1" t="n">
        <v>5</v>
      </c>
      <c r="E108" s="1" t="s">
        <v>1548</v>
      </c>
      <c r="F108" s="1" t="str">
        <f aca="false">IFERROR(VLOOKUP(C108, threat_intelligence A:B, 2, 0), "Not Exploited")</f>
        <v>Not Exploited</v>
      </c>
      <c r="G108" s="1"/>
    </row>
    <row r="109" customFormat="false" ht="13" hidden="false" customHeight="false" outlineLevel="0" collapsed="false">
      <c r="A109" s="1" t="s">
        <v>1857</v>
      </c>
      <c r="B109" s="1" t="s">
        <v>1858</v>
      </c>
      <c r="C109" s="1" t="s">
        <v>1859</v>
      </c>
      <c r="D109" s="1" t="n">
        <v>6</v>
      </c>
      <c r="E109" s="1" t="s">
        <v>1538</v>
      </c>
      <c r="F109" s="1" t="str">
        <f aca="false">IFERROR(VLOOKUP(C109, threat_intelligence A:B, 2, 0), "Not Exploited")</f>
        <v>Not Exploited</v>
      </c>
      <c r="G109" s="1"/>
    </row>
    <row r="110" customFormat="false" ht="13" hidden="false" customHeight="false" outlineLevel="0" collapsed="false">
      <c r="A110" s="1" t="s">
        <v>1860</v>
      </c>
      <c r="B110" s="1" t="s">
        <v>1861</v>
      </c>
      <c r="C110" s="1" t="s">
        <v>1862</v>
      </c>
      <c r="D110" s="1" t="n">
        <v>4</v>
      </c>
      <c r="E110" s="1" t="s">
        <v>1548</v>
      </c>
      <c r="F110" s="1" t="str">
        <f aca="false">IFERROR(VLOOKUP(C110, threat_intelligence A:B, 2, 0), "Not Exploited")</f>
        <v>Not Exploited</v>
      </c>
      <c r="G110" s="1"/>
    </row>
    <row r="111" customFormat="false" ht="13" hidden="false" customHeight="false" outlineLevel="0" collapsed="false">
      <c r="A111" s="1" t="s">
        <v>1863</v>
      </c>
      <c r="B111" s="1" t="s">
        <v>1864</v>
      </c>
      <c r="C111" s="1" t="s">
        <v>1865</v>
      </c>
      <c r="D111" s="1" t="n">
        <v>4</v>
      </c>
      <c r="E111" s="1" t="s">
        <v>1548</v>
      </c>
      <c r="F111" s="1" t="str">
        <f aca="false">IFERROR(VLOOKUP(C111, threat_intelligence A:B, 2, 0), "Not Exploited")</f>
        <v>Not Exploited</v>
      </c>
      <c r="G111" s="1"/>
    </row>
    <row r="112" customFormat="false" ht="13" hidden="false" customHeight="false" outlineLevel="0" collapsed="false">
      <c r="A112" s="1" t="s">
        <v>1866</v>
      </c>
      <c r="B112" s="1" t="s">
        <v>1867</v>
      </c>
      <c r="C112" s="1" t="s">
        <v>1868</v>
      </c>
      <c r="D112" s="1" t="n">
        <v>2</v>
      </c>
      <c r="E112" s="1" t="s">
        <v>1538</v>
      </c>
      <c r="F112" s="1" t="str">
        <f aca="false">IFERROR(VLOOKUP(C112, threat_intelligence A:B, 2, 0), "Not Exploited")</f>
        <v>Not Exploited</v>
      </c>
      <c r="G112" s="1"/>
    </row>
    <row r="113" customFormat="false" ht="13" hidden="false" customHeight="false" outlineLevel="0" collapsed="false">
      <c r="A113" s="1" t="s">
        <v>1869</v>
      </c>
      <c r="B113" s="1" t="s">
        <v>1870</v>
      </c>
      <c r="C113" s="1" t="s">
        <v>1871</v>
      </c>
      <c r="D113" s="1" t="n">
        <v>8</v>
      </c>
      <c r="E113" s="1" t="s">
        <v>1530</v>
      </c>
      <c r="F113" s="1" t="str">
        <f aca="false">IFERROR(VLOOKUP(C113, threat_intelligence A:B, 2, 0), "Not Exploited")</f>
        <v>Not Exploited</v>
      </c>
      <c r="G113" s="1"/>
    </row>
    <row r="114" customFormat="false" ht="13" hidden="false" customHeight="false" outlineLevel="0" collapsed="false">
      <c r="A114" s="1" t="s">
        <v>1872</v>
      </c>
      <c r="B114" s="1" t="s">
        <v>1873</v>
      </c>
      <c r="C114" s="1" t="s">
        <v>1874</v>
      </c>
      <c r="D114" s="1" t="n">
        <v>2</v>
      </c>
      <c r="E114" s="1" t="s">
        <v>1549</v>
      </c>
      <c r="F114" s="1" t="str">
        <f aca="false">IFERROR(VLOOKUP(C114, threat_intelligence A:B, 2, 0), "Not Exploited")</f>
        <v>Not Exploited</v>
      </c>
      <c r="G114" s="1"/>
    </row>
    <row r="115" customFormat="false" ht="13" hidden="false" customHeight="false" outlineLevel="0" collapsed="false">
      <c r="A115" s="1" t="s">
        <v>1875</v>
      </c>
      <c r="B115" s="1" t="s">
        <v>1876</v>
      </c>
      <c r="C115" s="1" t="s">
        <v>1877</v>
      </c>
      <c r="D115" s="1" t="n">
        <v>9</v>
      </c>
      <c r="E115" s="1" t="s">
        <v>1548</v>
      </c>
      <c r="F115" s="1" t="str">
        <f aca="false">IFERROR(VLOOKUP(C115, threat_intelligence A:B, 2, 0), "Not Exploited")</f>
        <v>Not Exploited</v>
      </c>
      <c r="G115" s="1"/>
    </row>
    <row r="116" customFormat="false" ht="13" hidden="false" customHeight="false" outlineLevel="0" collapsed="false">
      <c r="A116" s="1" t="s">
        <v>1878</v>
      </c>
      <c r="B116" s="1" t="s">
        <v>1879</v>
      </c>
      <c r="C116" s="1" t="s">
        <v>1880</v>
      </c>
      <c r="D116" s="1" t="n">
        <v>4</v>
      </c>
      <c r="E116" s="1" t="s">
        <v>1526</v>
      </c>
      <c r="F116" s="1" t="str">
        <f aca="false">IFERROR(VLOOKUP(C116, threat_intelligence A:B, 2, 0), "Not Exploited")</f>
        <v>Not Exploited</v>
      </c>
      <c r="G116" s="1"/>
    </row>
    <row r="117" customFormat="false" ht="13" hidden="false" customHeight="false" outlineLevel="0" collapsed="false">
      <c r="A117" s="1" t="s">
        <v>1881</v>
      </c>
      <c r="B117" s="1" t="s">
        <v>1882</v>
      </c>
      <c r="C117" s="1" t="s">
        <v>1883</v>
      </c>
      <c r="D117" s="1" t="n">
        <v>9</v>
      </c>
      <c r="E117" s="1" t="s">
        <v>1526</v>
      </c>
      <c r="F117" s="1" t="str">
        <f aca="false">IFERROR(VLOOKUP(C117, threat_intelligence A:B, 2, 0), "Not Exploited")</f>
        <v>Not Exploited</v>
      </c>
      <c r="G117" s="1"/>
    </row>
    <row r="118" customFormat="false" ht="13" hidden="false" customHeight="false" outlineLevel="0" collapsed="false">
      <c r="A118" s="1" t="s">
        <v>1884</v>
      </c>
      <c r="B118" s="1" t="s">
        <v>1885</v>
      </c>
      <c r="C118" s="1" t="s">
        <v>1886</v>
      </c>
      <c r="D118" s="1" t="n">
        <v>6</v>
      </c>
      <c r="E118" s="1" t="s">
        <v>1549</v>
      </c>
      <c r="F118" s="1" t="str">
        <f aca="false">IFERROR(VLOOKUP(C118, threat_intelligence A:B, 2, 0), "Not Exploited")</f>
        <v>Not Exploited</v>
      </c>
      <c r="G118" s="1"/>
    </row>
    <row r="119" customFormat="false" ht="13" hidden="false" customHeight="false" outlineLevel="0" collapsed="false">
      <c r="A119" s="1" t="s">
        <v>1887</v>
      </c>
      <c r="B119" s="1" t="s">
        <v>1888</v>
      </c>
      <c r="C119" s="1" t="s">
        <v>1889</v>
      </c>
      <c r="D119" s="1" t="n">
        <v>3</v>
      </c>
      <c r="E119" s="1" t="s">
        <v>1526</v>
      </c>
      <c r="F119" s="1" t="str">
        <f aca="false">IFERROR(VLOOKUP(C119, threat_intelligence A:B, 2, 0), "Not Exploited")</f>
        <v>Not Exploited</v>
      </c>
      <c r="G119" s="1"/>
    </row>
    <row r="120" customFormat="false" ht="13" hidden="false" customHeight="false" outlineLevel="0" collapsed="false">
      <c r="A120" s="1" t="s">
        <v>1890</v>
      </c>
      <c r="B120" s="1" t="s">
        <v>1891</v>
      </c>
      <c r="C120" s="1" t="s">
        <v>1892</v>
      </c>
      <c r="D120" s="1" t="n">
        <v>1</v>
      </c>
      <c r="E120" s="1" t="s">
        <v>1549</v>
      </c>
      <c r="F120" s="1" t="str">
        <f aca="false">IFERROR(VLOOKUP(C120, threat_intelligence A:B, 2, 0), "Not Exploited")</f>
        <v>Not Exploited</v>
      </c>
      <c r="G120" s="1"/>
    </row>
    <row r="121" customFormat="false" ht="13" hidden="false" customHeight="false" outlineLevel="0" collapsed="false">
      <c r="A121" s="1" t="s">
        <v>1893</v>
      </c>
      <c r="B121" s="1" t="s">
        <v>1894</v>
      </c>
      <c r="C121" s="1" t="s">
        <v>1895</v>
      </c>
      <c r="D121" s="1" t="n">
        <v>7</v>
      </c>
      <c r="E121" s="1" t="s">
        <v>1549</v>
      </c>
      <c r="F121" s="1" t="str">
        <f aca="false">IFERROR(VLOOKUP(C121, threat_intelligence A:B, 2, 0), "Not Exploited")</f>
        <v>Not Exploited</v>
      </c>
      <c r="G121" s="1"/>
    </row>
    <row r="122" customFormat="false" ht="13" hidden="false" customHeight="false" outlineLevel="0" collapsed="false">
      <c r="A122" s="1" t="s">
        <v>1896</v>
      </c>
      <c r="B122" s="1" t="s">
        <v>1897</v>
      </c>
      <c r="C122" s="1" t="s">
        <v>1898</v>
      </c>
      <c r="D122" s="1" t="n">
        <v>3</v>
      </c>
      <c r="E122" s="1" t="s">
        <v>1526</v>
      </c>
      <c r="F122" s="1" t="str">
        <f aca="false">IFERROR(VLOOKUP(C122, threat_intelligence A:B, 2, 0), "Not Exploited")</f>
        <v>Not Exploited</v>
      </c>
      <c r="G122" s="1"/>
    </row>
    <row r="123" customFormat="false" ht="13" hidden="false" customHeight="false" outlineLevel="0" collapsed="false">
      <c r="A123" s="1" t="s">
        <v>1899</v>
      </c>
      <c r="B123" s="1" t="s">
        <v>1900</v>
      </c>
      <c r="C123" s="1" t="s">
        <v>1901</v>
      </c>
      <c r="D123" s="1" t="n">
        <v>5</v>
      </c>
      <c r="E123" s="1" t="s">
        <v>1526</v>
      </c>
      <c r="F123" s="1" t="str">
        <f aca="false">IFERROR(VLOOKUP(C123, threat_intelligence A:B, 2, 0), "Not Exploited")</f>
        <v>Not Exploited</v>
      </c>
      <c r="G123" s="1"/>
    </row>
    <row r="124" customFormat="false" ht="13" hidden="false" customHeight="false" outlineLevel="0" collapsed="false">
      <c r="A124" s="1" t="s">
        <v>1902</v>
      </c>
      <c r="B124" s="1" t="s">
        <v>1903</v>
      </c>
      <c r="C124" s="1" t="s">
        <v>1904</v>
      </c>
      <c r="D124" s="1" t="n">
        <v>9</v>
      </c>
      <c r="E124" s="1" t="s">
        <v>1538</v>
      </c>
      <c r="F124" s="1" t="str">
        <f aca="false">IFERROR(VLOOKUP(C124, threat_intelligence A:B, 2, 0), "Not Exploited")</f>
        <v>Not Exploited</v>
      </c>
      <c r="G124" s="1"/>
    </row>
    <row r="125" customFormat="false" ht="13" hidden="false" customHeight="false" outlineLevel="0" collapsed="false">
      <c r="A125" s="1" t="s">
        <v>1905</v>
      </c>
      <c r="B125" s="1" t="s">
        <v>1906</v>
      </c>
      <c r="C125" s="1" t="s">
        <v>1907</v>
      </c>
      <c r="D125" s="1" t="n">
        <v>6</v>
      </c>
      <c r="E125" s="1" t="s">
        <v>1530</v>
      </c>
      <c r="F125" s="1" t="str">
        <f aca="false">IFERROR(VLOOKUP(C125, threat_intelligence A:B, 2, 0), "Not Exploited")</f>
        <v>Not Exploited</v>
      </c>
      <c r="G125" s="1"/>
    </row>
    <row r="126" customFormat="false" ht="13" hidden="false" customHeight="false" outlineLevel="0" collapsed="false">
      <c r="A126" s="1" t="s">
        <v>1908</v>
      </c>
      <c r="B126" s="1" t="s">
        <v>1909</v>
      </c>
      <c r="C126" s="1" t="s">
        <v>1910</v>
      </c>
      <c r="D126" s="1" t="n">
        <v>7</v>
      </c>
      <c r="E126" s="1" t="s">
        <v>1548</v>
      </c>
      <c r="F126" s="1" t="str">
        <f aca="false">IFERROR(VLOOKUP(C126, threat_intelligence A:B, 2, 0), "Not Exploited")</f>
        <v>Not Exploited</v>
      </c>
      <c r="G126" s="1"/>
    </row>
    <row r="127" customFormat="false" ht="13" hidden="false" customHeight="false" outlineLevel="0" collapsed="false">
      <c r="A127" s="1" t="s">
        <v>1911</v>
      </c>
      <c r="B127" s="1" t="s">
        <v>1912</v>
      </c>
      <c r="C127" s="1" t="s">
        <v>1913</v>
      </c>
      <c r="D127" s="1" t="n">
        <v>8</v>
      </c>
      <c r="E127" s="1" t="s">
        <v>1530</v>
      </c>
      <c r="F127" s="1" t="str">
        <f aca="false">IFERROR(VLOOKUP(C127, threat_intelligence A:B, 2, 0), "Not Exploited")</f>
        <v>Not Exploited</v>
      </c>
      <c r="G127" s="1"/>
    </row>
    <row r="128" customFormat="false" ht="13" hidden="false" customHeight="false" outlineLevel="0" collapsed="false">
      <c r="A128" s="1" t="s">
        <v>1914</v>
      </c>
      <c r="B128" s="1" t="s">
        <v>1915</v>
      </c>
      <c r="C128" s="1" t="s">
        <v>1916</v>
      </c>
      <c r="D128" s="1" t="n">
        <v>9</v>
      </c>
      <c r="E128" s="1" t="s">
        <v>1530</v>
      </c>
      <c r="F128" s="1" t="str">
        <f aca="false">IFERROR(VLOOKUP(C128, threat_intelligence A:B, 2, 0), "Not Exploited")</f>
        <v>Not Exploited</v>
      </c>
      <c r="G128" s="1"/>
    </row>
    <row r="129" customFormat="false" ht="13" hidden="false" customHeight="false" outlineLevel="0" collapsed="false">
      <c r="A129" s="1" t="s">
        <v>1917</v>
      </c>
      <c r="B129" s="1" t="s">
        <v>1918</v>
      </c>
      <c r="C129" s="1" t="s">
        <v>1919</v>
      </c>
      <c r="D129" s="1" t="n">
        <v>2</v>
      </c>
      <c r="E129" s="1" t="s">
        <v>1549</v>
      </c>
      <c r="F129" s="1" t="str">
        <f aca="false">IFERROR(VLOOKUP(C129, threat_intelligence A:B, 2, 0), "Not Exploited")</f>
        <v>Not Exploited</v>
      </c>
      <c r="G129" s="1"/>
    </row>
    <row r="130" customFormat="false" ht="13" hidden="false" customHeight="false" outlineLevel="0" collapsed="false">
      <c r="A130" s="1" t="s">
        <v>1920</v>
      </c>
      <c r="B130" s="1" t="s">
        <v>1921</v>
      </c>
      <c r="C130" s="1" t="s">
        <v>1922</v>
      </c>
      <c r="D130" s="1" t="n">
        <v>3</v>
      </c>
      <c r="E130" s="1" t="s">
        <v>1549</v>
      </c>
      <c r="F130" s="1" t="str">
        <f aca="false">IFERROR(VLOOKUP(C130, threat_intelligence A:B, 2, 0), "Not Exploited")</f>
        <v>Not Exploited</v>
      </c>
      <c r="G130" s="1"/>
    </row>
    <row r="131" customFormat="false" ht="13" hidden="false" customHeight="false" outlineLevel="0" collapsed="false">
      <c r="A131" s="1" t="s">
        <v>1923</v>
      </c>
      <c r="B131" s="1" t="s">
        <v>1924</v>
      </c>
      <c r="C131" s="1" t="s">
        <v>1925</v>
      </c>
      <c r="D131" s="1" t="n">
        <v>5</v>
      </c>
      <c r="E131" s="1" t="s">
        <v>1526</v>
      </c>
      <c r="F131" s="1" t="str">
        <f aca="false">IFERROR(VLOOKUP(C131, threat_intelligence A:B, 2, 0), "Not Exploited")</f>
        <v>Not Exploited</v>
      </c>
      <c r="G131" s="1"/>
    </row>
    <row r="132" customFormat="false" ht="13" hidden="false" customHeight="false" outlineLevel="0" collapsed="false">
      <c r="A132" s="1" t="s">
        <v>1926</v>
      </c>
      <c r="B132" s="1" t="s">
        <v>1927</v>
      </c>
      <c r="C132" s="1" t="s">
        <v>1928</v>
      </c>
      <c r="D132" s="1" t="n">
        <v>9</v>
      </c>
      <c r="E132" s="1" t="s">
        <v>1549</v>
      </c>
      <c r="F132" s="1" t="str">
        <f aca="false">IFERROR(VLOOKUP(C132, threat_intelligence A:B, 2, 0), "Not Exploited")</f>
        <v>Not Exploited</v>
      </c>
      <c r="G132" s="1"/>
    </row>
    <row r="133" customFormat="false" ht="13" hidden="false" customHeight="false" outlineLevel="0" collapsed="false">
      <c r="A133" s="1" t="s">
        <v>1929</v>
      </c>
      <c r="B133" s="1" t="s">
        <v>1930</v>
      </c>
      <c r="C133" s="1" t="s">
        <v>1931</v>
      </c>
      <c r="D133" s="1" t="n">
        <v>6</v>
      </c>
      <c r="E133" s="1" t="s">
        <v>1548</v>
      </c>
      <c r="F133" s="1" t="str">
        <f aca="false">IFERROR(VLOOKUP(C133, threat_intelligence A:B, 2, 0), "Not Exploited")</f>
        <v>Not Exploited</v>
      </c>
      <c r="G133" s="1"/>
    </row>
    <row r="134" customFormat="false" ht="13" hidden="false" customHeight="false" outlineLevel="0" collapsed="false">
      <c r="A134" s="1" t="s">
        <v>1932</v>
      </c>
      <c r="B134" s="1" t="s">
        <v>1933</v>
      </c>
      <c r="C134" s="1" t="s">
        <v>1934</v>
      </c>
      <c r="D134" s="1" t="n">
        <v>8</v>
      </c>
      <c r="E134" s="1" t="s">
        <v>1526</v>
      </c>
      <c r="F134" s="1" t="str">
        <f aca="false">IFERROR(VLOOKUP(C134, threat_intelligence A:B, 2, 0), "Not Exploited")</f>
        <v>Not Exploited</v>
      </c>
      <c r="G134" s="1"/>
    </row>
    <row r="135" customFormat="false" ht="13" hidden="false" customHeight="false" outlineLevel="0" collapsed="false">
      <c r="A135" s="1" t="s">
        <v>1935</v>
      </c>
      <c r="B135" s="1" t="s">
        <v>1936</v>
      </c>
      <c r="C135" s="1" t="s">
        <v>1937</v>
      </c>
      <c r="D135" s="1" t="n">
        <v>1</v>
      </c>
      <c r="E135" s="1" t="s">
        <v>1530</v>
      </c>
      <c r="F135" s="1" t="str">
        <f aca="false">IFERROR(VLOOKUP(C135, threat_intelligence A:B, 2, 0), "Not Exploited")</f>
        <v>Not Exploited</v>
      </c>
      <c r="G135" s="1"/>
    </row>
    <row r="136" customFormat="false" ht="13" hidden="false" customHeight="false" outlineLevel="0" collapsed="false">
      <c r="A136" s="1" t="s">
        <v>1938</v>
      </c>
      <c r="B136" s="1" t="s">
        <v>1939</v>
      </c>
      <c r="C136" s="1" t="s">
        <v>1940</v>
      </c>
      <c r="D136" s="1" t="n">
        <v>2</v>
      </c>
      <c r="E136" s="1" t="s">
        <v>1548</v>
      </c>
      <c r="F136" s="1" t="str">
        <f aca="false">IFERROR(VLOOKUP(C136, threat_intelligence A:B, 2, 0), "Not Exploited")</f>
        <v>Not Exploited</v>
      </c>
      <c r="G136" s="1"/>
    </row>
    <row r="137" customFormat="false" ht="13" hidden="false" customHeight="false" outlineLevel="0" collapsed="false">
      <c r="A137" s="1" t="s">
        <v>1941</v>
      </c>
      <c r="B137" s="1" t="s">
        <v>1942</v>
      </c>
      <c r="C137" s="1" t="s">
        <v>1943</v>
      </c>
      <c r="D137" s="1" t="n">
        <v>4</v>
      </c>
      <c r="E137" s="1" t="s">
        <v>1526</v>
      </c>
      <c r="F137" s="1" t="str">
        <f aca="false">IFERROR(VLOOKUP(C137, threat_intelligence A:B, 2, 0), "Not Exploited")</f>
        <v>Not Exploited</v>
      </c>
      <c r="G137" s="1"/>
    </row>
    <row r="138" customFormat="false" ht="13" hidden="false" customHeight="false" outlineLevel="0" collapsed="false">
      <c r="A138" s="1" t="s">
        <v>1944</v>
      </c>
      <c r="B138" s="1" t="s">
        <v>1945</v>
      </c>
      <c r="C138" s="1" t="s">
        <v>1946</v>
      </c>
      <c r="D138" s="1" t="n">
        <v>2</v>
      </c>
      <c r="E138" s="1" t="s">
        <v>1526</v>
      </c>
      <c r="F138" s="1" t="str">
        <f aca="false">IFERROR(VLOOKUP(C138, threat_intelligence A:B, 2, 0), "Not Exploited")</f>
        <v>Not Exploited</v>
      </c>
      <c r="G138" s="1"/>
    </row>
    <row r="139" customFormat="false" ht="13" hidden="false" customHeight="false" outlineLevel="0" collapsed="false">
      <c r="A139" s="1" t="s">
        <v>1947</v>
      </c>
      <c r="B139" s="1" t="s">
        <v>1948</v>
      </c>
      <c r="C139" s="1" t="s">
        <v>1949</v>
      </c>
      <c r="D139" s="1" t="n">
        <v>9</v>
      </c>
      <c r="E139" s="1" t="s">
        <v>1549</v>
      </c>
      <c r="F139" s="1" t="str">
        <f aca="false">IFERROR(VLOOKUP(C139, threat_intelligence A:B, 2, 0), "Not Exploited")</f>
        <v>Not Exploited</v>
      </c>
      <c r="G139" s="1"/>
    </row>
    <row r="140" customFormat="false" ht="13" hidden="false" customHeight="false" outlineLevel="0" collapsed="false">
      <c r="A140" s="1" t="s">
        <v>1950</v>
      </c>
      <c r="B140" s="1" t="s">
        <v>1951</v>
      </c>
      <c r="C140" s="1" t="s">
        <v>1952</v>
      </c>
      <c r="D140" s="1" t="n">
        <v>6</v>
      </c>
      <c r="E140" s="1" t="s">
        <v>1526</v>
      </c>
      <c r="F140" s="1" t="str">
        <f aca="false">IFERROR(VLOOKUP(C140, threat_intelligence A:B, 2, 0), "Not Exploited")</f>
        <v>Not Exploited</v>
      </c>
      <c r="G140" s="1"/>
    </row>
    <row r="141" customFormat="false" ht="13" hidden="false" customHeight="false" outlineLevel="0" collapsed="false">
      <c r="A141" s="1" t="s">
        <v>1953</v>
      </c>
      <c r="B141" s="1" t="s">
        <v>1954</v>
      </c>
      <c r="C141" s="1" t="s">
        <v>1955</v>
      </c>
      <c r="D141" s="1" t="n">
        <v>2</v>
      </c>
      <c r="E141" s="1" t="s">
        <v>1549</v>
      </c>
      <c r="F141" s="1" t="str">
        <f aca="false">IFERROR(VLOOKUP(C141, threat_intelligence A:B, 2, 0), "Not Exploited")</f>
        <v>Not Exploited</v>
      </c>
      <c r="G141" s="1"/>
    </row>
    <row r="142" customFormat="false" ht="13" hidden="false" customHeight="false" outlineLevel="0" collapsed="false">
      <c r="A142" s="1" t="s">
        <v>1956</v>
      </c>
      <c r="B142" s="1" t="s">
        <v>1957</v>
      </c>
      <c r="C142" s="1" t="s">
        <v>1958</v>
      </c>
      <c r="D142" s="1" t="n">
        <v>8</v>
      </c>
      <c r="E142" s="1" t="s">
        <v>1548</v>
      </c>
      <c r="F142" s="1" t="str">
        <f aca="false">IFERROR(VLOOKUP(C142, threat_intelligence A:B, 2, 0), "Not Exploited")</f>
        <v>Not Exploited</v>
      </c>
      <c r="G142" s="1"/>
    </row>
    <row r="143" customFormat="false" ht="13" hidden="false" customHeight="false" outlineLevel="0" collapsed="false">
      <c r="A143" s="1" t="s">
        <v>1959</v>
      </c>
      <c r="B143" s="1" t="s">
        <v>1960</v>
      </c>
      <c r="C143" s="1" t="s">
        <v>1961</v>
      </c>
      <c r="D143" s="1" t="n">
        <v>4</v>
      </c>
      <c r="E143" s="1" t="s">
        <v>1530</v>
      </c>
      <c r="F143" s="1" t="str">
        <f aca="false">IFERROR(VLOOKUP(C143, threat_intelligence A:B, 2, 0), "Not Exploited")</f>
        <v>Not Exploited</v>
      </c>
      <c r="G143" s="1"/>
    </row>
    <row r="144" customFormat="false" ht="13" hidden="false" customHeight="false" outlineLevel="0" collapsed="false">
      <c r="A144" s="1" t="s">
        <v>1962</v>
      </c>
      <c r="B144" s="1" t="s">
        <v>1963</v>
      </c>
      <c r="C144" s="1" t="s">
        <v>1964</v>
      </c>
      <c r="D144" s="1" t="n">
        <v>2</v>
      </c>
      <c r="E144" s="1" t="s">
        <v>1549</v>
      </c>
      <c r="F144" s="1" t="str">
        <f aca="false">IFERROR(VLOOKUP(C144, threat_intelligence A:B, 2, 0), "Not Exploited")</f>
        <v>Not Exploited</v>
      </c>
      <c r="G144" s="1"/>
    </row>
    <row r="145" customFormat="false" ht="13" hidden="false" customHeight="false" outlineLevel="0" collapsed="false">
      <c r="A145" s="1" t="s">
        <v>1965</v>
      </c>
      <c r="B145" s="1" t="s">
        <v>1966</v>
      </c>
      <c r="C145" s="1" t="s">
        <v>1967</v>
      </c>
      <c r="D145" s="1" t="n">
        <v>1</v>
      </c>
      <c r="E145" s="1" t="s">
        <v>1538</v>
      </c>
      <c r="F145" s="1" t="str">
        <f aca="false">IFERROR(VLOOKUP(C145, threat_intelligence A:B, 2, 0), "Not Exploited")</f>
        <v>Not Exploited</v>
      </c>
      <c r="G145" s="1"/>
    </row>
    <row r="146" customFormat="false" ht="13" hidden="false" customHeight="false" outlineLevel="0" collapsed="false">
      <c r="A146" s="1" t="s">
        <v>1968</v>
      </c>
      <c r="B146" s="1" t="s">
        <v>1969</v>
      </c>
      <c r="C146" s="1" t="s">
        <v>1970</v>
      </c>
      <c r="D146" s="1" t="n">
        <v>6</v>
      </c>
      <c r="E146" s="1" t="s">
        <v>1530</v>
      </c>
      <c r="F146" s="1" t="str">
        <f aca="false">IFERROR(VLOOKUP(C146, threat_intelligence A:B, 2, 0), "Not Exploited")</f>
        <v>Not Exploited</v>
      </c>
      <c r="G146" s="1"/>
    </row>
    <row r="147" customFormat="false" ht="13" hidden="false" customHeight="false" outlineLevel="0" collapsed="false">
      <c r="A147" s="1" t="s">
        <v>1971</v>
      </c>
      <c r="B147" s="1" t="s">
        <v>1972</v>
      </c>
      <c r="C147" s="1" t="s">
        <v>1973</v>
      </c>
      <c r="D147" s="1" t="n">
        <v>9</v>
      </c>
      <c r="E147" s="1" t="s">
        <v>1548</v>
      </c>
      <c r="F147" s="1" t="str">
        <f aca="false">IFERROR(VLOOKUP(C147, threat_intelligence A:B, 2, 0), "Not Exploited")</f>
        <v>Not Exploited</v>
      </c>
      <c r="G147" s="1"/>
    </row>
    <row r="148" customFormat="false" ht="13" hidden="false" customHeight="false" outlineLevel="0" collapsed="false">
      <c r="A148" s="1" t="s">
        <v>1974</v>
      </c>
      <c r="B148" s="1" t="s">
        <v>1975</v>
      </c>
      <c r="C148" s="1" t="s">
        <v>1976</v>
      </c>
      <c r="D148" s="1" t="n">
        <v>3</v>
      </c>
      <c r="E148" s="1" t="s">
        <v>1538</v>
      </c>
      <c r="F148" s="1" t="str">
        <f aca="false">IFERROR(VLOOKUP(C148, threat_intelligence A:B, 2, 0), "Not Exploited")</f>
        <v>Not Exploited</v>
      </c>
      <c r="G148" s="1"/>
    </row>
    <row r="149" customFormat="false" ht="13" hidden="false" customHeight="false" outlineLevel="0" collapsed="false">
      <c r="A149" s="1" t="s">
        <v>1977</v>
      </c>
      <c r="B149" s="1" t="s">
        <v>1978</v>
      </c>
      <c r="C149" s="1" t="s">
        <v>1979</v>
      </c>
      <c r="D149" s="1" t="n">
        <v>9</v>
      </c>
      <c r="E149" s="1" t="s">
        <v>1538</v>
      </c>
      <c r="F149" s="1" t="str">
        <f aca="false">IFERROR(VLOOKUP(C149, threat_intelligence A:B, 2, 0), "Not Exploited")</f>
        <v>Not Exploited</v>
      </c>
      <c r="G149" s="1"/>
    </row>
    <row r="150" customFormat="false" ht="13" hidden="false" customHeight="false" outlineLevel="0" collapsed="false">
      <c r="A150" s="1" t="s">
        <v>1980</v>
      </c>
      <c r="B150" s="1" t="s">
        <v>1981</v>
      </c>
      <c r="C150" s="1" t="s">
        <v>1982</v>
      </c>
      <c r="D150" s="1" t="n">
        <v>4</v>
      </c>
      <c r="E150" s="1" t="s">
        <v>1549</v>
      </c>
      <c r="F150" s="1" t="str">
        <f aca="false">IFERROR(VLOOKUP(C150, threat_intelligence A:B, 2, 0), "Not Exploited")</f>
        <v>Not Exploited</v>
      </c>
      <c r="G150" s="1"/>
    </row>
    <row r="151" customFormat="false" ht="13" hidden="false" customHeight="false" outlineLevel="0" collapsed="false">
      <c r="A151" s="1" t="s">
        <v>1983</v>
      </c>
      <c r="B151" s="1" t="s">
        <v>1984</v>
      </c>
      <c r="C151" s="1" t="s">
        <v>1985</v>
      </c>
      <c r="D151" s="1" t="n">
        <v>4</v>
      </c>
      <c r="E151" s="1" t="s">
        <v>1530</v>
      </c>
      <c r="F151" s="1" t="str">
        <f aca="false">IFERROR(VLOOKUP(C151, threat_intelligence A:B, 2, 0), "Not Exploited")</f>
        <v>Not Exploited</v>
      </c>
      <c r="G151" s="1"/>
    </row>
    <row r="152" customFormat="false" ht="13" hidden="false" customHeight="false" outlineLevel="0" collapsed="false">
      <c r="A152" s="1" t="s">
        <v>1986</v>
      </c>
      <c r="B152" s="1" t="s">
        <v>1987</v>
      </c>
      <c r="C152" s="1" t="s">
        <v>1988</v>
      </c>
      <c r="D152" s="1" t="n">
        <v>9</v>
      </c>
      <c r="E152" s="1" t="s">
        <v>1530</v>
      </c>
      <c r="F152" s="1" t="str">
        <f aca="false">IFERROR(VLOOKUP(C152, threat_intelligence A:B, 2, 0), "Not Exploited")</f>
        <v>Not Exploited</v>
      </c>
      <c r="G152" s="1"/>
    </row>
    <row r="153" customFormat="false" ht="13" hidden="false" customHeight="false" outlineLevel="0" collapsed="false">
      <c r="A153" s="1" t="s">
        <v>1989</v>
      </c>
      <c r="B153" s="1" t="s">
        <v>1990</v>
      </c>
      <c r="C153" s="1" t="s">
        <v>1991</v>
      </c>
      <c r="D153" s="1" t="n">
        <v>6</v>
      </c>
      <c r="E153" s="1" t="s">
        <v>1530</v>
      </c>
      <c r="F153" s="1" t="str">
        <f aca="false">IFERROR(VLOOKUP(C153, threat_intelligence A:B, 2, 0), "Not Exploited")</f>
        <v>Not Exploited</v>
      </c>
      <c r="G153" s="1"/>
    </row>
    <row r="154" customFormat="false" ht="13" hidden="false" customHeight="false" outlineLevel="0" collapsed="false">
      <c r="A154" s="1" t="s">
        <v>1992</v>
      </c>
      <c r="B154" s="1" t="s">
        <v>1993</v>
      </c>
      <c r="C154" s="1" t="s">
        <v>1994</v>
      </c>
      <c r="D154" s="1" t="n">
        <v>7</v>
      </c>
      <c r="E154" s="1" t="s">
        <v>1548</v>
      </c>
      <c r="F154" s="1" t="str">
        <f aca="false">IFERROR(VLOOKUP(C154, threat_intelligence A:B, 2, 0), "Not Exploited")</f>
        <v>Not Exploited</v>
      </c>
      <c r="G154" s="1"/>
    </row>
    <row r="155" customFormat="false" ht="13" hidden="false" customHeight="false" outlineLevel="0" collapsed="false">
      <c r="A155" s="1" t="s">
        <v>1995</v>
      </c>
      <c r="B155" s="1" t="s">
        <v>1996</v>
      </c>
      <c r="C155" s="1" t="s">
        <v>1997</v>
      </c>
      <c r="D155" s="1" t="n">
        <v>7</v>
      </c>
      <c r="E155" s="1" t="s">
        <v>1538</v>
      </c>
      <c r="F155" s="1" t="str">
        <f aca="false">IFERROR(VLOOKUP(C155, threat_intelligence A:B, 2, 0), "Not Exploited")</f>
        <v>Not Exploited</v>
      </c>
      <c r="G155" s="1"/>
    </row>
    <row r="156" customFormat="false" ht="13" hidden="false" customHeight="false" outlineLevel="0" collapsed="false">
      <c r="A156" s="1" t="s">
        <v>1998</v>
      </c>
      <c r="B156" s="1" t="s">
        <v>1999</v>
      </c>
      <c r="C156" s="1" t="s">
        <v>2000</v>
      </c>
      <c r="D156" s="1" t="n">
        <v>6</v>
      </c>
      <c r="E156" s="1" t="s">
        <v>1548</v>
      </c>
      <c r="F156" s="1" t="str">
        <f aca="false">IFERROR(VLOOKUP(C156, threat_intelligence A:B, 2, 0), "Not Exploited")</f>
        <v>Not Exploited</v>
      </c>
      <c r="G156" s="1"/>
    </row>
    <row r="157" customFormat="false" ht="13" hidden="false" customHeight="false" outlineLevel="0" collapsed="false">
      <c r="A157" s="1" t="s">
        <v>2001</v>
      </c>
      <c r="B157" s="1" t="s">
        <v>2002</v>
      </c>
      <c r="C157" s="1" t="s">
        <v>2003</v>
      </c>
      <c r="D157" s="1" t="n">
        <v>5</v>
      </c>
      <c r="E157" s="1" t="s">
        <v>1548</v>
      </c>
      <c r="F157" s="1" t="str">
        <f aca="false">IFERROR(VLOOKUP(C157, threat_intelligence A:B, 2, 0), "Not Exploited")</f>
        <v>Not Exploited</v>
      </c>
      <c r="G157" s="1"/>
    </row>
    <row r="158" customFormat="false" ht="13" hidden="false" customHeight="false" outlineLevel="0" collapsed="false">
      <c r="A158" s="1" t="s">
        <v>2004</v>
      </c>
      <c r="B158" s="1" t="s">
        <v>2005</v>
      </c>
      <c r="C158" s="1" t="s">
        <v>2006</v>
      </c>
      <c r="D158" s="1" t="n">
        <v>2</v>
      </c>
      <c r="E158" s="1" t="s">
        <v>1549</v>
      </c>
      <c r="F158" s="1" t="str">
        <f aca="false">IFERROR(VLOOKUP(C158, threat_intelligence A:B, 2, 0), "Not Exploited")</f>
        <v>Not Exploited</v>
      </c>
      <c r="G158" s="1"/>
    </row>
    <row r="159" customFormat="false" ht="13" hidden="false" customHeight="false" outlineLevel="0" collapsed="false">
      <c r="A159" s="1" t="s">
        <v>2007</v>
      </c>
      <c r="B159" s="1" t="s">
        <v>2008</v>
      </c>
      <c r="C159" s="1" t="s">
        <v>2009</v>
      </c>
      <c r="D159" s="1" t="n">
        <v>4</v>
      </c>
      <c r="E159" s="1" t="s">
        <v>1549</v>
      </c>
      <c r="F159" s="1" t="str">
        <f aca="false">IFERROR(VLOOKUP(C159, threat_intelligence A:B, 2, 0), "Not Exploited")</f>
        <v>Not Exploited</v>
      </c>
      <c r="G159" s="1"/>
    </row>
    <row r="160" customFormat="false" ht="13" hidden="false" customHeight="false" outlineLevel="0" collapsed="false">
      <c r="A160" s="1" t="s">
        <v>2010</v>
      </c>
      <c r="B160" s="1" t="s">
        <v>2011</v>
      </c>
      <c r="C160" s="1" t="s">
        <v>2012</v>
      </c>
      <c r="D160" s="1" t="n">
        <v>5</v>
      </c>
      <c r="E160" s="1" t="s">
        <v>1526</v>
      </c>
      <c r="F160" s="1" t="str">
        <f aca="false">IFERROR(VLOOKUP(C160, threat_intelligence A:B, 2, 0), "Not Exploited")</f>
        <v>Not Exploited</v>
      </c>
      <c r="G160" s="1"/>
    </row>
    <row r="161" customFormat="false" ht="13" hidden="false" customHeight="false" outlineLevel="0" collapsed="false">
      <c r="A161" s="1" t="s">
        <v>2013</v>
      </c>
      <c r="B161" s="1" t="s">
        <v>2014</v>
      </c>
      <c r="C161" s="1" t="s">
        <v>2015</v>
      </c>
      <c r="D161" s="1" t="n">
        <v>2</v>
      </c>
      <c r="E161" s="1" t="s">
        <v>1548</v>
      </c>
      <c r="F161" s="1" t="str">
        <f aca="false">IFERROR(VLOOKUP(C161, threat_intelligence A:B, 2, 0), "Not Exploited")</f>
        <v>Not Exploited</v>
      </c>
      <c r="G161" s="1"/>
    </row>
    <row r="162" customFormat="false" ht="13" hidden="false" customHeight="false" outlineLevel="0" collapsed="false">
      <c r="A162" s="1" t="s">
        <v>2016</v>
      </c>
      <c r="B162" s="1" t="s">
        <v>2017</v>
      </c>
      <c r="C162" s="1" t="s">
        <v>2018</v>
      </c>
      <c r="D162" s="1" t="n">
        <v>6</v>
      </c>
      <c r="E162" s="1" t="s">
        <v>1538</v>
      </c>
      <c r="F162" s="1" t="str">
        <f aca="false">IFERROR(VLOOKUP(C162, threat_intelligence A:B, 2, 0), "Not Exploited")</f>
        <v>Not Exploited</v>
      </c>
      <c r="G162" s="1"/>
    </row>
    <row r="163" customFormat="false" ht="13" hidden="false" customHeight="false" outlineLevel="0" collapsed="false">
      <c r="A163" s="1" t="s">
        <v>2019</v>
      </c>
      <c r="B163" s="1" t="s">
        <v>2020</v>
      </c>
      <c r="C163" s="1" t="s">
        <v>2021</v>
      </c>
      <c r="D163" s="1" t="n">
        <v>9</v>
      </c>
      <c r="E163" s="1" t="s">
        <v>1530</v>
      </c>
      <c r="F163" s="1" t="str">
        <f aca="false">IFERROR(VLOOKUP(C163, threat_intelligence A:B, 2, 0), "Not Exploited")</f>
        <v>Not Exploited</v>
      </c>
      <c r="G163" s="1"/>
    </row>
    <row r="164" customFormat="false" ht="13" hidden="false" customHeight="false" outlineLevel="0" collapsed="false">
      <c r="A164" s="1" t="s">
        <v>2022</v>
      </c>
      <c r="B164" s="1" t="s">
        <v>2023</v>
      </c>
      <c r="C164" s="1" t="s">
        <v>2024</v>
      </c>
      <c r="D164" s="1" t="n">
        <v>4</v>
      </c>
      <c r="E164" s="1" t="s">
        <v>1548</v>
      </c>
      <c r="F164" s="1" t="str">
        <f aca="false">IFERROR(VLOOKUP(C164, threat_intelligence A:B, 2, 0), "Not Exploited")</f>
        <v>Not Exploited</v>
      </c>
      <c r="G164" s="1"/>
    </row>
    <row r="165" customFormat="false" ht="13" hidden="false" customHeight="false" outlineLevel="0" collapsed="false">
      <c r="A165" s="1" t="s">
        <v>2025</v>
      </c>
      <c r="B165" s="1" t="s">
        <v>2026</v>
      </c>
      <c r="C165" s="1" t="s">
        <v>2027</v>
      </c>
      <c r="D165" s="1" t="n">
        <v>9</v>
      </c>
      <c r="E165" s="1" t="s">
        <v>1549</v>
      </c>
      <c r="F165" s="1" t="str">
        <f aca="false">IFERROR(VLOOKUP(C165, threat_intelligence A:B, 2, 0), "Not Exploited")</f>
        <v>Not Exploited</v>
      </c>
      <c r="G165" s="1"/>
    </row>
    <row r="166" customFormat="false" ht="13" hidden="false" customHeight="false" outlineLevel="0" collapsed="false">
      <c r="A166" s="1" t="s">
        <v>2028</v>
      </c>
      <c r="B166" s="1" t="s">
        <v>2029</v>
      </c>
      <c r="C166" s="1" t="s">
        <v>2030</v>
      </c>
      <c r="D166" s="1" t="n">
        <v>8</v>
      </c>
      <c r="E166" s="1" t="s">
        <v>1530</v>
      </c>
      <c r="F166" s="1" t="str">
        <f aca="false">IFERROR(VLOOKUP(C166, threat_intelligence A:B, 2, 0), "Not Exploited")</f>
        <v>Not Exploited</v>
      </c>
      <c r="G166" s="1"/>
    </row>
    <row r="167" customFormat="false" ht="13" hidden="false" customHeight="false" outlineLevel="0" collapsed="false">
      <c r="A167" s="1" t="s">
        <v>2031</v>
      </c>
      <c r="B167" s="1" t="s">
        <v>2032</v>
      </c>
      <c r="C167" s="1" t="s">
        <v>2033</v>
      </c>
      <c r="D167" s="1" t="n">
        <v>5</v>
      </c>
      <c r="E167" s="1" t="s">
        <v>1549</v>
      </c>
      <c r="F167" s="1" t="str">
        <f aca="false">IFERROR(VLOOKUP(C167, threat_intelligence A:B, 2, 0), "Not Exploited")</f>
        <v>Not Exploited</v>
      </c>
      <c r="G167" s="1"/>
    </row>
    <row r="168" customFormat="false" ht="13" hidden="false" customHeight="false" outlineLevel="0" collapsed="false">
      <c r="A168" s="1" t="s">
        <v>2034</v>
      </c>
      <c r="B168" s="1" t="s">
        <v>2035</v>
      </c>
      <c r="C168" s="1" t="s">
        <v>2036</v>
      </c>
      <c r="D168" s="1" t="n">
        <v>1</v>
      </c>
      <c r="E168" s="1" t="s">
        <v>1538</v>
      </c>
      <c r="F168" s="1" t="str">
        <f aca="false">IFERROR(VLOOKUP(C168, threat_intelligence A:B, 2, 0), "Not Exploited")</f>
        <v>Not Exploited</v>
      </c>
      <c r="G168" s="1"/>
    </row>
    <row r="169" customFormat="false" ht="13" hidden="false" customHeight="false" outlineLevel="0" collapsed="false">
      <c r="A169" s="1" t="s">
        <v>2037</v>
      </c>
      <c r="B169" s="1" t="s">
        <v>2038</v>
      </c>
      <c r="C169" s="1" t="s">
        <v>2039</v>
      </c>
      <c r="D169" s="1" t="n">
        <v>6</v>
      </c>
      <c r="E169" s="1" t="s">
        <v>1538</v>
      </c>
      <c r="F169" s="1" t="str">
        <f aca="false">IFERROR(VLOOKUP(C169, threat_intelligence A:B, 2, 0), "Not Exploited")</f>
        <v>Not Exploited</v>
      </c>
      <c r="G169" s="1"/>
    </row>
    <row r="170" customFormat="false" ht="13" hidden="false" customHeight="false" outlineLevel="0" collapsed="false">
      <c r="A170" s="1" t="s">
        <v>2040</v>
      </c>
      <c r="B170" s="1" t="s">
        <v>2041</v>
      </c>
      <c r="C170" s="1" t="s">
        <v>2042</v>
      </c>
      <c r="D170" s="1" t="n">
        <v>4</v>
      </c>
      <c r="E170" s="1" t="s">
        <v>1538</v>
      </c>
      <c r="F170" s="1" t="str">
        <f aca="false">IFERROR(VLOOKUP(C170, threat_intelligence A:B, 2, 0), "Not Exploited")</f>
        <v>Not Exploited</v>
      </c>
      <c r="G170" s="1"/>
    </row>
    <row r="171" customFormat="false" ht="13" hidden="false" customHeight="false" outlineLevel="0" collapsed="false">
      <c r="A171" s="1" t="s">
        <v>2043</v>
      </c>
      <c r="B171" s="1" t="s">
        <v>2044</v>
      </c>
      <c r="C171" s="1" t="s">
        <v>2045</v>
      </c>
      <c r="D171" s="1" t="n">
        <v>5</v>
      </c>
      <c r="E171" s="1" t="s">
        <v>1538</v>
      </c>
      <c r="F171" s="1" t="str">
        <f aca="false">IFERROR(VLOOKUP(C171, threat_intelligence A:B, 2, 0), "Not Exploited")</f>
        <v>Not Exploited</v>
      </c>
      <c r="G171" s="1"/>
    </row>
    <row r="172" customFormat="false" ht="13" hidden="false" customHeight="false" outlineLevel="0" collapsed="false">
      <c r="A172" s="1" t="s">
        <v>2046</v>
      </c>
      <c r="B172" s="1" t="s">
        <v>2047</v>
      </c>
      <c r="C172" s="1" t="s">
        <v>2048</v>
      </c>
      <c r="D172" s="1" t="n">
        <v>9</v>
      </c>
      <c r="E172" s="1" t="s">
        <v>1548</v>
      </c>
      <c r="F172" s="1" t="str">
        <f aca="false">IFERROR(VLOOKUP(C172, threat_intelligence A:B, 2, 0), "Not Exploited")</f>
        <v>Not Exploited</v>
      </c>
      <c r="G172" s="1"/>
    </row>
    <row r="173" customFormat="false" ht="13" hidden="false" customHeight="false" outlineLevel="0" collapsed="false">
      <c r="A173" s="1" t="s">
        <v>2049</v>
      </c>
      <c r="B173" s="1" t="s">
        <v>2050</v>
      </c>
      <c r="C173" s="1" t="s">
        <v>2051</v>
      </c>
      <c r="D173" s="1" t="n">
        <v>7</v>
      </c>
      <c r="E173" s="1" t="s">
        <v>1530</v>
      </c>
      <c r="F173" s="1" t="str">
        <f aca="false">IFERROR(VLOOKUP(C173, threat_intelligence A:B, 2, 0), "Not Exploited")</f>
        <v>Not Exploited</v>
      </c>
      <c r="G173" s="1"/>
    </row>
    <row r="174" customFormat="false" ht="13" hidden="false" customHeight="false" outlineLevel="0" collapsed="false">
      <c r="A174" s="1" t="s">
        <v>2052</v>
      </c>
      <c r="B174" s="1" t="s">
        <v>2053</v>
      </c>
      <c r="C174" s="1" t="s">
        <v>2054</v>
      </c>
      <c r="D174" s="1" t="n">
        <v>6</v>
      </c>
      <c r="E174" s="1" t="s">
        <v>1530</v>
      </c>
      <c r="F174" s="1" t="str">
        <f aca="false">IFERROR(VLOOKUP(C174, threat_intelligence A:B, 2, 0), "Not Exploited")</f>
        <v>Not Exploited</v>
      </c>
      <c r="G174" s="1"/>
    </row>
    <row r="175" customFormat="false" ht="13" hidden="false" customHeight="false" outlineLevel="0" collapsed="false">
      <c r="A175" s="1" t="s">
        <v>2055</v>
      </c>
      <c r="B175" s="1" t="s">
        <v>2056</v>
      </c>
      <c r="C175" s="1" t="s">
        <v>2057</v>
      </c>
      <c r="D175" s="1" t="n">
        <v>1</v>
      </c>
      <c r="E175" s="1" t="s">
        <v>1549</v>
      </c>
      <c r="F175" s="1" t="str">
        <f aca="false">IFERROR(VLOOKUP(C175, threat_intelligence A:B, 2, 0), "Not Exploited")</f>
        <v>Not Exploited</v>
      </c>
      <c r="G175" s="1"/>
    </row>
    <row r="176" customFormat="false" ht="13" hidden="false" customHeight="false" outlineLevel="0" collapsed="false">
      <c r="A176" s="1" t="s">
        <v>2058</v>
      </c>
      <c r="B176" s="1" t="s">
        <v>2059</v>
      </c>
      <c r="C176" s="1" t="s">
        <v>2060</v>
      </c>
      <c r="D176" s="1" t="n">
        <v>7</v>
      </c>
      <c r="E176" s="1" t="s">
        <v>1526</v>
      </c>
      <c r="F176" s="1" t="str">
        <f aca="false">IFERROR(VLOOKUP(C176, threat_intelligence A:B, 2, 0), "Not Exploited")</f>
        <v>Not Exploited</v>
      </c>
      <c r="G176" s="1"/>
    </row>
    <row r="177" customFormat="false" ht="13" hidden="false" customHeight="false" outlineLevel="0" collapsed="false">
      <c r="A177" s="1" t="s">
        <v>2061</v>
      </c>
      <c r="B177" s="1" t="s">
        <v>2062</v>
      </c>
      <c r="C177" s="1" t="s">
        <v>2063</v>
      </c>
      <c r="D177" s="1" t="n">
        <v>5</v>
      </c>
      <c r="E177" s="1" t="s">
        <v>1526</v>
      </c>
      <c r="F177" s="1" t="str">
        <f aca="false">IFERROR(VLOOKUP(C177, threat_intelligence A:B, 2, 0), "Not Exploited")</f>
        <v>Not Exploited</v>
      </c>
      <c r="G177" s="1"/>
    </row>
    <row r="178" customFormat="false" ht="13" hidden="false" customHeight="false" outlineLevel="0" collapsed="false">
      <c r="A178" s="1" t="s">
        <v>2064</v>
      </c>
      <c r="B178" s="1" t="s">
        <v>2065</v>
      </c>
      <c r="C178" s="1" t="s">
        <v>2066</v>
      </c>
      <c r="D178" s="1" t="n">
        <v>8</v>
      </c>
      <c r="E178" s="1" t="s">
        <v>1526</v>
      </c>
      <c r="F178" s="1" t="str">
        <f aca="false">IFERROR(VLOOKUP(C178, threat_intelligence A:B, 2, 0), "Not Exploited")</f>
        <v>Not Exploited</v>
      </c>
      <c r="G178" s="1"/>
    </row>
    <row r="179" customFormat="false" ht="13" hidden="false" customHeight="false" outlineLevel="0" collapsed="false">
      <c r="A179" s="1" t="s">
        <v>2067</v>
      </c>
      <c r="B179" s="1" t="s">
        <v>2068</v>
      </c>
      <c r="C179" s="1" t="s">
        <v>2069</v>
      </c>
      <c r="D179" s="1" t="n">
        <v>7</v>
      </c>
      <c r="E179" s="1" t="s">
        <v>1526</v>
      </c>
      <c r="F179" s="1" t="str">
        <f aca="false">IFERROR(VLOOKUP(C179, threat_intelligence A:B, 2, 0), "Not Exploited")</f>
        <v>Not Exploited</v>
      </c>
      <c r="G179" s="1"/>
    </row>
    <row r="180" customFormat="false" ht="13" hidden="false" customHeight="false" outlineLevel="0" collapsed="false">
      <c r="A180" s="1" t="s">
        <v>2070</v>
      </c>
      <c r="B180" s="1" t="s">
        <v>2071</v>
      </c>
      <c r="C180" s="1" t="s">
        <v>2072</v>
      </c>
      <c r="D180" s="1" t="n">
        <v>9</v>
      </c>
      <c r="E180" s="1" t="s">
        <v>1530</v>
      </c>
      <c r="F180" s="1" t="str">
        <f aca="false">IFERROR(VLOOKUP(C180, threat_intelligence A:B, 2, 0), "Not Exploited")</f>
        <v>Not Exploited</v>
      </c>
      <c r="G180" s="1"/>
    </row>
    <row r="181" customFormat="false" ht="13" hidden="false" customHeight="false" outlineLevel="0" collapsed="false">
      <c r="A181" s="1" t="s">
        <v>2073</v>
      </c>
      <c r="B181" s="1" t="s">
        <v>2074</v>
      </c>
      <c r="C181" s="1" t="s">
        <v>2075</v>
      </c>
      <c r="D181" s="1" t="n">
        <v>6</v>
      </c>
      <c r="E181" s="1" t="s">
        <v>1530</v>
      </c>
      <c r="F181" s="1" t="str">
        <f aca="false">IFERROR(VLOOKUP(C181, threat_intelligence A:B, 2, 0), "Not Exploited")</f>
        <v>Not Exploited</v>
      </c>
      <c r="G181" s="1"/>
    </row>
    <row r="182" customFormat="false" ht="13" hidden="false" customHeight="false" outlineLevel="0" collapsed="false">
      <c r="A182" s="1" t="s">
        <v>2076</v>
      </c>
      <c r="B182" s="1" t="s">
        <v>2077</v>
      </c>
      <c r="C182" s="1" t="s">
        <v>2078</v>
      </c>
      <c r="D182" s="1" t="n">
        <v>8</v>
      </c>
      <c r="E182" s="1" t="s">
        <v>1526</v>
      </c>
      <c r="F182" s="1" t="str">
        <f aca="false">IFERROR(VLOOKUP(C182, threat_intelligence A:B, 2, 0), "Not Exploited")</f>
        <v>Not Exploited</v>
      </c>
      <c r="G182" s="1"/>
    </row>
    <row r="183" customFormat="false" ht="13" hidden="false" customHeight="false" outlineLevel="0" collapsed="false">
      <c r="A183" s="1" t="s">
        <v>2079</v>
      </c>
      <c r="B183" s="1" t="s">
        <v>2080</v>
      </c>
      <c r="C183" s="1" t="s">
        <v>2081</v>
      </c>
      <c r="D183" s="1" t="n">
        <v>3</v>
      </c>
      <c r="E183" s="1" t="s">
        <v>1526</v>
      </c>
      <c r="F183" s="1" t="str">
        <f aca="false">IFERROR(VLOOKUP(C183, threat_intelligence A:B, 2, 0), "Not Exploited")</f>
        <v>Not Exploited</v>
      </c>
      <c r="G183" s="1"/>
    </row>
    <row r="184" customFormat="false" ht="13" hidden="false" customHeight="false" outlineLevel="0" collapsed="false">
      <c r="A184" s="1" t="s">
        <v>2082</v>
      </c>
      <c r="B184" s="1" t="s">
        <v>2083</v>
      </c>
      <c r="C184" s="1" t="s">
        <v>2084</v>
      </c>
      <c r="D184" s="1" t="n">
        <v>4</v>
      </c>
      <c r="E184" s="1" t="s">
        <v>1526</v>
      </c>
      <c r="F184" s="1" t="str">
        <f aca="false">IFERROR(VLOOKUP(C184, threat_intelligence A:B, 2, 0), "Not Exploited")</f>
        <v>Not Exploited</v>
      </c>
      <c r="G184" s="1"/>
    </row>
    <row r="185" customFormat="false" ht="13" hidden="false" customHeight="false" outlineLevel="0" collapsed="false">
      <c r="A185" s="1" t="s">
        <v>2085</v>
      </c>
      <c r="B185" s="1" t="s">
        <v>2086</v>
      </c>
      <c r="C185" s="1" t="s">
        <v>2087</v>
      </c>
      <c r="D185" s="1" t="n">
        <v>6</v>
      </c>
      <c r="E185" s="1" t="s">
        <v>1538</v>
      </c>
      <c r="F185" s="1" t="str">
        <f aca="false">IFERROR(VLOOKUP(C185, threat_intelligence A:B, 2, 0), "Not Exploited")</f>
        <v>Not Exploited</v>
      </c>
      <c r="G185" s="1"/>
    </row>
    <row r="186" customFormat="false" ht="13" hidden="false" customHeight="false" outlineLevel="0" collapsed="false">
      <c r="A186" s="1" t="s">
        <v>2088</v>
      </c>
      <c r="B186" s="1" t="s">
        <v>2089</v>
      </c>
      <c r="C186" s="1" t="s">
        <v>2090</v>
      </c>
      <c r="D186" s="1" t="n">
        <v>6</v>
      </c>
      <c r="E186" s="1" t="s">
        <v>1538</v>
      </c>
      <c r="F186" s="1" t="str">
        <f aca="false">IFERROR(VLOOKUP(C186, threat_intelligence A:B, 2, 0), "Not Exploited")</f>
        <v>Not Exploited</v>
      </c>
      <c r="G186" s="1"/>
    </row>
    <row r="187" customFormat="false" ht="13" hidden="false" customHeight="false" outlineLevel="0" collapsed="false">
      <c r="A187" s="1" t="s">
        <v>2091</v>
      </c>
      <c r="B187" s="1" t="s">
        <v>2092</v>
      </c>
      <c r="C187" s="1" t="s">
        <v>2093</v>
      </c>
      <c r="D187" s="1" t="n">
        <v>5</v>
      </c>
      <c r="E187" s="1" t="s">
        <v>1548</v>
      </c>
      <c r="F187" s="1" t="str">
        <f aca="false">IFERROR(VLOOKUP(C187, threat_intelligence A:B, 2, 0), "Not Exploited")</f>
        <v>Not Exploited</v>
      </c>
      <c r="G187" s="1"/>
    </row>
    <row r="188" customFormat="false" ht="13" hidden="false" customHeight="false" outlineLevel="0" collapsed="false">
      <c r="A188" s="1" t="s">
        <v>2094</v>
      </c>
      <c r="B188" s="1" t="s">
        <v>2095</v>
      </c>
      <c r="C188" s="1" t="s">
        <v>2096</v>
      </c>
      <c r="D188" s="1" t="n">
        <v>3</v>
      </c>
      <c r="E188" s="1" t="s">
        <v>1548</v>
      </c>
      <c r="F188" s="1" t="str">
        <f aca="false">IFERROR(VLOOKUP(C188, threat_intelligence A:B, 2, 0), "Not Exploited")</f>
        <v>Not Exploited</v>
      </c>
      <c r="G188" s="1"/>
    </row>
    <row r="189" customFormat="false" ht="13" hidden="false" customHeight="false" outlineLevel="0" collapsed="false">
      <c r="A189" s="1" t="s">
        <v>2097</v>
      </c>
      <c r="B189" s="1" t="s">
        <v>2098</v>
      </c>
      <c r="C189" s="1" t="s">
        <v>2099</v>
      </c>
      <c r="D189" s="1" t="n">
        <v>9</v>
      </c>
      <c r="E189" s="1" t="s">
        <v>1530</v>
      </c>
      <c r="F189" s="1" t="str">
        <f aca="false">IFERROR(VLOOKUP(C189, threat_intelligence A:B, 2, 0), "Not Exploited")</f>
        <v>Not Exploited</v>
      </c>
      <c r="G189" s="1"/>
    </row>
    <row r="190" customFormat="false" ht="13" hidden="false" customHeight="false" outlineLevel="0" collapsed="false">
      <c r="A190" s="1" t="s">
        <v>2100</v>
      </c>
      <c r="B190" s="1" t="s">
        <v>2101</v>
      </c>
      <c r="C190" s="1" t="s">
        <v>2102</v>
      </c>
      <c r="D190" s="1" t="n">
        <v>6</v>
      </c>
      <c r="E190" s="1" t="s">
        <v>1538</v>
      </c>
      <c r="F190" s="1" t="str">
        <f aca="false">IFERROR(VLOOKUP(C190, threat_intelligence A:B, 2, 0), "Not Exploited")</f>
        <v>Not Exploited</v>
      </c>
      <c r="G190" s="1"/>
    </row>
    <row r="191" customFormat="false" ht="13" hidden="false" customHeight="false" outlineLevel="0" collapsed="false">
      <c r="A191" s="1" t="s">
        <v>2103</v>
      </c>
      <c r="B191" s="1" t="s">
        <v>2104</v>
      </c>
      <c r="C191" s="1" t="s">
        <v>2105</v>
      </c>
      <c r="D191" s="1" t="n">
        <v>5</v>
      </c>
      <c r="E191" s="1" t="s">
        <v>1548</v>
      </c>
      <c r="F191" s="1" t="str">
        <f aca="false">IFERROR(VLOOKUP(C191, threat_intelligence A:B, 2, 0), "Not Exploited")</f>
        <v>Not Exploited</v>
      </c>
      <c r="G191" s="1"/>
    </row>
    <row r="192" customFormat="false" ht="13" hidden="false" customHeight="false" outlineLevel="0" collapsed="false">
      <c r="A192" s="1" t="s">
        <v>2106</v>
      </c>
      <c r="B192" s="1" t="s">
        <v>2107</v>
      </c>
      <c r="C192" s="1" t="s">
        <v>2108</v>
      </c>
      <c r="D192" s="1" t="n">
        <v>4</v>
      </c>
      <c r="E192" s="1" t="s">
        <v>1538</v>
      </c>
      <c r="F192" s="1" t="str">
        <f aca="false">IFERROR(VLOOKUP(C192, threat_intelligence A:B, 2, 0), "Not Exploited")</f>
        <v>Not Exploited</v>
      </c>
      <c r="G192" s="1"/>
    </row>
    <row r="193" customFormat="false" ht="13" hidden="false" customHeight="false" outlineLevel="0" collapsed="false">
      <c r="A193" s="1" t="s">
        <v>2109</v>
      </c>
      <c r="B193" s="1" t="s">
        <v>2110</v>
      </c>
      <c r="C193" s="1" t="s">
        <v>2111</v>
      </c>
      <c r="D193" s="1" t="n">
        <v>6</v>
      </c>
      <c r="E193" s="1" t="s">
        <v>1548</v>
      </c>
      <c r="F193" s="1" t="str">
        <f aca="false">IFERROR(VLOOKUP(C193, threat_intelligence A:B, 2, 0), "Not Exploited")</f>
        <v>Not Exploited</v>
      </c>
      <c r="G193" s="1"/>
    </row>
    <row r="194" customFormat="false" ht="13" hidden="false" customHeight="false" outlineLevel="0" collapsed="false">
      <c r="A194" s="1" t="s">
        <v>2112</v>
      </c>
      <c r="B194" s="1" t="s">
        <v>2113</v>
      </c>
      <c r="C194" s="1" t="s">
        <v>2114</v>
      </c>
      <c r="D194" s="1" t="n">
        <v>9</v>
      </c>
      <c r="E194" s="1" t="s">
        <v>1548</v>
      </c>
      <c r="F194" s="1" t="str">
        <f aca="false">IFERROR(VLOOKUP(C194, threat_intelligence A:B, 2, 0), "Not Exploited")</f>
        <v>Not Exploited</v>
      </c>
      <c r="G194" s="1"/>
    </row>
    <row r="195" customFormat="false" ht="13" hidden="false" customHeight="false" outlineLevel="0" collapsed="false">
      <c r="A195" s="1" t="s">
        <v>2115</v>
      </c>
      <c r="B195" s="1" t="s">
        <v>2116</v>
      </c>
      <c r="C195" s="1" t="s">
        <v>2117</v>
      </c>
      <c r="D195" s="1" t="n">
        <v>7</v>
      </c>
      <c r="E195" s="1" t="s">
        <v>1526</v>
      </c>
      <c r="F195" s="1" t="str">
        <f aca="false">IFERROR(VLOOKUP(C195, threat_intelligence A:B, 2, 0), "Not Exploited")</f>
        <v>Not Exploited</v>
      </c>
      <c r="G195" s="1"/>
    </row>
    <row r="196" customFormat="false" ht="13" hidden="false" customHeight="false" outlineLevel="0" collapsed="false">
      <c r="A196" s="1" t="s">
        <v>2118</v>
      </c>
      <c r="B196" s="1" t="s">
        <v>2119</v>
      </c>
      <c r="C196" s="1" t="s">
        <v>2120</v>
      </c>
      <c r="D196" s="1" t="n">
        <v>3</v>
      </c>
      <c r="E196" s="1" t="s">
        <v>1538</v>
      </c>
      <c r="F196" s="1" t="str">
        <f aca="false">IFERROR(VLOOKUP(C196, threat_intelligence A:B, 2, 0), "Not Exploited")</f>
        <v>Not Exploited</v>
      </c>
      <c r="G196" s="1"/>
    </row>
    <row r="197" customFormat="false" ht="13" hidden="false" customHeight="false" outlineLevel="0" collapsed="false">
      <c r="A197" s="1" t="s">
        <v>2121</v>
      </c>
      <c r="B197" s="1" t="s">
        <v>2122</v>
      </c>
      <c r="C197" s="1" t="s">
        <v>2123</v>
      </c>
      <c r="D197" s="1" t="n">
        <v>7</v>
      </c>
      <c r="E197" s="1" t="s">
        <v>1538</v>
      </c>
      <c r="F197" s="1" t="str">
        <f aca="false">IFERROR(VLOOKUP(C197, threat_intelligence A:B, 2, 0), "Not Exploited")</f>
        <v>Not Exploited</v>
      </c>
      <c r="G197" s="1"/>
    </row>
    <row r="198" customFormat="false" ht="13" hidden="false" customHeight="false" outlineLevel="0" collapsed="false">
      <c r="A198" s="1" t="s">
        <v>2124</v>
      </c>
      <c r="B198" s="1" t="s">
        <v>2125</v>
      </c>
      <c r="C198" s="1" t="s">
        <v>2126</v>
      </c>
      <c r="D198" s="1" t="n">
        <v>7</v>
      </c>
      <c r="E198" s="1" t="s">
        <v>1526</v>
      </c>
      <c r="F198" s="1" t="str">
        <f aca="false">IFERROR(VLOOKUP(C198, threat_intelligence A:B, 2, 0), "Not Exploited")</f>
        <v>Not Exploited</v>
      </c>
      <c r="G198" s="1"/>
    </row>
    <row r="199" customFormat="false" ht="13" hidden="false" customHeight="false" outlineLevel="0" collapsed="false">
      <c r="A199" s="1" t="s">
        <v>2127</v>
      </c>
      <c r="B199" s="1" t="s">
        <v>2128</v>
      </c>
      <c r="C199" s="1" t="s">
        <v>2129</v>
      </c>
      <c r="D199" s="1" t="n">
        <v>5</v>
      </c>
      <c r="E199" s="1" t="s">
        <v>1548</v>
      </c>
      <c r="F199" s="1" t="str">
        <f aca="false">IFERROR(VLOOKUP(C199, threat_intelligence A:B, 2, 0), "Not Exploited")</f>
        <v>Not Exploited</v>
      </c>
      <c r="G199" s="1"/>
    </row>
    <row r="200" customFormat="false" ht="13" hidden="false" customHeight="false" outlineLevel="0" collapsed="false">
      <c r="A200" s="1" t="s">
        <v>2130</v>
      </c>
      <c r="B200" s="1" t="s">
        <v>2131</v>
      </c>
      <c r="C200" s="1" t="s">
        <v>2132</v>
      </c>
      <c r="D200" s="1" t="n">
        <v>5</v>
      </c>
      <c r="E200" s="1" t="s">
        <v>1548</v>
      </c>
      <c r="F200" s="1" t="str">
        <f aca="false">IFERROR(VLOOKUP(C200, threat_intelligence A:B, 2, 0), "Not Exploited")</f>
        <v>Not Exploited</v>
      </c>
      <c r="G200" s="1"/>
    </row>
    <row r="201" customFormat="false" ht="13" hidden="false" customHeight="false" outlineLevel="0" collapsed="false">
      <c r="A201" s="1" t="s">
        <v>2133</v>
      </c>
      <c r="B201" s="1" t="s">
        <v>2134</v>
      </c>
      <c r="C201" s="1" t="s">
        <v>2135</v>
      </c>
      <c r="D201" s="1" t="n">
        <v>2</v>
      </c>
      <c r="E201" s="1" t="s">
        <v>1548</v>
      </c>
      <c r="F201" s="1" t="str">
        <f aca="false">IFERROR(VLOOKUP(C201, threat_intelligence A:B, 2, 0), "Not Exploited")</f>
        <v>Not Exploited</v>
      </c>
      <c r="G201" s="1"/>
    </row>
    <row r="202" customFormat="false" ht="13" hidden="false" customHeight="false" outlineLevel="0" collapsed="false">
      <c r="A202" s="1" t="s">
        <v>2136</v>
      </c>
      <c r="B202" s="1" t="s">
        <v>2137</v>
      </c>
      <c r="C202" s="1" t="s">
        <v>2138</v>
      </c>
      <c r="D202" s="1" t="n">
        <v>4</v>
      </c>
      <c r="E202" s="1" t="s">
        <v>1538</v>
      </c>
      <c r="F202" s="1" t="str">
        <f aca="false">IFERROR(VLOOKUP(C202, threat_intelligence A:B, 2, 0), "Not Exploited")</f>
        <v>Not Exploited</v>
      </c>
      <c r="G202" s="1"/>
    </row>
    <row r="203" customFormat="false" ht="13" hidden="false" customHeight="false" outlineLevel="0" collapsed="false">
      <c r="A203" s="1" t="s">
        <v>2139</v>
      </c>
      <c r="B203" s="1" t="s">
        <v>2140</v>
      </c>
      <c r="C203" s="1" t="s">
        <v>2141</v>
      </c>
      <c r="D203" s="1" t="n">
        <v>6</v>
      </c>
      <c r="E203" s="1" t="s">
        <v>1548</v>
      </c>
      <c r="F203" s="1" t="str">
        <f aca="false">IFERROR(VLOOKUP(C203, threat_intelligence A:B, 2, 0), "Not Exploited")</f>
        <v>Not Exploited</v>
      </c>
      <c r="G203" s="1"/>
    </row>
    <row r="204" customFormat="false" ht="13" hidden="false" customHeight="false" outlineLevel="0" collapsed="false">
      <c r="A204" s="1" t="s">
        <v>2142</v>
      </c>
      <c r="B204" s="1" t="s">
        <v>2143</v>
      </c>
      <c r="C204" s="1" t="s">
        <v>2144</v>
      </c>
      <c r="D204" s="1" t="n">
        <v>5</v>
      </c>
      <c r="E204" s="1" t="s">
        <v>1538</v>
      </c>
      <c r="F204" s="1" t="str">
        <f aca="false">IFERROR(VLOOKUP(C204, threat_intelligence A:B, 2, 0), "Not Exploited")</f>
        <v>Not Exploited</v>
      </c>
      <c r="G204" s="1"/>
    </row>
    <row r="205" customFormat="false" ht="13" hidden="false" customHeight="false" outlineLevel="0" collapsed="false">
      <c r="A205" s="1" t="s">
        <v>2145</v>
      </c>
      <c r="B205" s="1" t="s">
        <v>2146</v>
      </c>
      <c r="C205" s="1" t="s">
        <v>2147</v>
      </c>
      <c r="D205" s="1" t="n">
        <v>5</v>
      </c>
      <c r="E205" s="1" t="s">
        <v>1526</v>
      </c>
      <c r="F205" s="1" t="str">
        <f aca="false">IFERROR(VLOOKUP(C205, threat_intelligence A:B, 2, 0), "Not Exploited")</f>
        <v>Not Exploited</v>
      </c>
      <c r="G205" s="1"/>
    </row>
    <row r="206" customFormat="false" ht="13" hidden="false" customHeight="false" outlineLevel="0" collapsed="false">
      <c r="A206" s="1" t="s">
        <v>2148</v>
      </c>
      <c r="B206" s="1" t="s">
        <v>2149</v>
      </c>
      <c r="C206" s="1" t="s">
        <v>2150</v>
      </c>
      <c r="D206" s="1" t="n">
        <v>9</v>
      </c>
      <c r="E206" s="1" t="s">
        <v>1548</v>
      </c>
      <c r="F206" s="1" t="str">
        <f aca="false">IFERROR(VLOOKUP(C206, threat_intelligence A:B, 2, 0), "Not Exploited")</f>
        <v>Not Exploited</v>
      </c>
      <c r="G206" s="1"/>
    </row>
    <row r="207" customFormat="false" ht="13" hidden="false" customHeight="false" outlineLevel="0" collapsed="false">
      <c r="A207" s="1" t="s">
        <v>2151</v>
      </c>
      <c r="B207" s="1" t="s">
        <v>2152</v>
      </c>
      <c r="C207" s="1" t="s">
        <v>2153</v>
      </c>
      <c r="D207" s="1" t="n">
        <v>6</v>
      </c>
      <c r="E207" s="1" t="s">
        <v>1526</v>
      </c>
      <c r="F207" s="1" t="str">
        <f aca="false">IFERROR(VLOOKUP(C207, threat_intelligence A:B, 2, 0), "Not Exploited")</f>
        <v>Not Exploited</v>
      </c>
      <c r="G207" s="1"/>
    </row>
    <row r="208" customFormat="false" ht="13" hidden="false" customHeight="false" outlineLevel="0" collapsed="false">
      <c r="A208" s="1" t="s">
        <v>2154</v>
      </c>
      <c r="B208" s="1" t="s">
        <v>2155</v>
      </c>
      <c r="C208" s="1" t="s">
        <v>2156</v>
      </c>
      <c r="D208" s="1" t="n">
        <v>3</v>
      </c>
      <c r="E208" s="1" t="s">
        <v>1548</v>
      </c>
      <c r="F208" s="1" t="str">
        <f aca="false">IFERROR(VLOOKUP(C208, threat_intelligence A:B, 2, 0), "Not Exploited")</f>
        <v>Not Exploited</v>
      </c>
      <c r="G208" s="1"/>
    </row>
    <row r="209" customFormat="false" ht="13" hidden="false" customHeight="false" outlineLevel="0" collapsed="false">
      <c r="A209" s="1" t="s">
        <v>2157</v>
      </c>
      <c r="B209" s="1" t="s">
        <v>2158</v>
      </c>
      <c r="C209" s="1" t="s">
        <v>2159</v>
      </c>
      <c r="D209" s="1" t="n">
        <v>8</v>
      </c>
      <c r="E209" s="1" t="s">
        <v>1548</v>
      </c>
      <c r="F209" s="1" t="str">
        <f aca="false">IFERROR(VLOOKUP(C209, threat_intelligence A:B, 2, 0), "Not Exploited")</f>
        <v>Not Exploited</v>
      </c>
      <c r="G209" s="1"/>
    </row>
    <row r="210" customFormat="false" ht="13" hidden="false" customHeight="false" outlineLevel="0" collapsed="false">
      <c r="A210" s="1" t="s">
        <v>2160</v>
      </c>
      <c r="B210" s="1" t="s">
        <v>2161</v>
      </c>
      <c r="C210" s="1" t="s">
        <v>2162</v>
      </c>
      <c r="D210" s="1" t="n">
        <v>6</v>
      </c>
      <c r="E210" s="1" t="s">
        <v>1530</v>
      </c>
      <c r="F210" s="1" t="str">
        <f aca="false">IFERROR(VLOOKUP(C210, threat_intelligence A:B, 2, 0), "Not Exploited")</f>
        <v>Not Exploited</v>
      </c>
      <c r="G210" s="1"/>
    </row>
    <row r="211" customFormat="false" ht="13" hidden="false" customHeight="false" outlineLevel="0" collapsed="false">
      <c r="A211" s="1" t="s">
        <v>2163</v>
      </c>
      <c r="B211" s="1" t="s">
        <v>2164</v>
      </c>
      <c r="C211" s="1" t="s">
        <v>2165</v>
      </c>
      <c r="D211" s="1" t="n">
        <v>1</v>
      </c>
      <c r="E211" s="1" t="s">
        <v>1538</v>
      </c>
      <c r="F211" s="1" t="str">
        <f aca="false">IFERROR(VLOOKUP(C211, threat_intelligence A:B, 2, 0), "Not Exploited")</f>
        <v>Not Exploited</v>
      </c>
      <c r="G211" s="1"/>
    </row>
    <row r="212" customFormat="false" ht="13" hidden="false" customHeight="false" outlineLevel="0" collapsed="false">
      <c r="A212" s="1" t="s">
        <v>2166</v>
      </c>
      <c r="B212" s="1" t="s">
        <v>2167</v>
      </c>
      <c r="C212" s="1" t="s">
        <v>2168</v>
      </c>
      <c r="D212" s="1" t="n">
        <v>7</v>
      </c>
      <c r="E212" s="1" t="s">
        <v>1538</v>
      </c>
      <c r="F212" s="1" t="str">
        <f aca="false">IFERROR(VLOOKUP(C212, threat_intelligence A:B, 2, 0), "Not Exploited")</f>
        <v>Not Exploited</v>
      </c>
      <c r="G212" s="1"/>
    </row>
    <row r="213" customFormat="false" ht="13" hidden="false" customHeight="false" outlineLevel="0" collapsed="false">
      <c r="A213" s="1" t="s">
        <v>2169</v>
      </c>
      <c r="B213" s="1" t="s">
        <v>2170</v>
      </c>
      <c r="C213" s="1" t="s">
        <v>2171</v>
      </c>
      <c r="D213" s="1" t="n">
        <v>2</v>
      </c>
      <c r="E213" s="1" t="s">
        <v>1526</v>
      </c>
      <c r="F213" s="1" t="str">
        <f aca="false">IFERROR(VLOOKUP(C213, threat_intelligence A:B, 2, 0), "Not Exploited")</f>
        <v>Not Exploited</v>
      </c>
      <c r="G213" s="1"/>
    </row>
    <row r="214" customFormat="false" ht="13" hidden="false" customHeight="false" outlineLevel="0" collapsed="false">
      <c r="A214" s="1" t="s">
        <v>2172</v>
      </c>
      <c r="B214" s="1" t="s">
        <v>2173</v>
      </c>
      <c r="C214" s="1" t="s">
        <v>2174</v>
      </c>
      <c r="D214" s="1" t="n">
        <v>7</v>
      </c>
      <c r="E214" s="1" t="s">
        <v>1548</v>
      </c>
      <c r="F214" s="1" t="str">
        <f aca="false">IFERROR(VLOOKUP(C214, threat_intelligence A:B, 2, 0), "Not Exploited")</f>
        <v>Not Exploited</v>
      </c>
      <c r="G214" s="1"/>
    </row>
    <row r="215" customFormat="false" ht="13" hidden="false" customHeight="false" outlineLevel="0" collapsed="false">
      <c r="A215" s="1" t="s">
        <v>2175</v>
      </c>
      <c r="B215" s="1" t="s">
        <v>2176</v>
      </c>
      <c r="C215" s="1" t="s">
        <v>2177</v>
      </c>
      <c r="D215" s="1" t="n">
        <v>8</v>
      </c>
      <c r="E215" s="1" t="s">
        <v>1526</v>
      </c>
      <c r="F215" s="1" t="str">
        <f aca="false">IFERROR(VLOOKUP(C215, threat_intelligence A:B, 2, 0), "Not Exploited")</f>
        <v>Not Exploited</v>
      </c>
      <c r="G215" s="1"/>
    </row>
    <row r="216" customFormat="false" ht="13" hidden="false" customHeight="false" outlineLevel="0" collapsed="false">
      <c r="A216" s="1" t="s">
        <v>2178</v>
      </c>
      <c r="B216" s="1" t="s">
        <v>2179</v>
      </c>
      <c r="C216" s="1" t="s">
        <v>2180</v>
      </c>
      <c r="D216" s="1" t="n">
        <v>3</v>
      </c>
      <c r="E216" s="1" t="s">
        <v>1548</v>
      </c>
      <c r="F216" s="1" t="str">
        <f aca="false">IFERROR(VLOOKUP(C216, threat_intelligence A:B, 2, 0), "Not Exploited")</f>
        <v>Not Exploited</v>
      </c>
      <c r="G216" s="1"/>
    </row>
    <row r="217" customFormat="false" ht="13" hidden="false" customHeight="false" outlineLevel="0" collapsed="false">
      <c r="A217" s="1" t="s">
        <v>2181</v>
      </c>
      <c r="B217" s="1" t="s">
        <v>2182</v>
      </c>
      <c r="C217" s="1" t="s">
        <v>2183</v>
      </c>
      <c r="D217" s="1" t="n">
        <v>1</v>
      </c>
      <c r="E217" s="1" t="s">
        <v>1549</v>
      </c>
      <c r="F217" s="1" t="str">
        <f aca="false">IFERROR(VLOOKUP(C217, threat_intelligence A:B, 2, 0), "Not Exploited")</f>
        <v>Not Exploited</v>
      </c>
      <c r="G217" s="1"/>
    </row>
    <row r="218" customFormat="false" ht="13" hidden="false" customHeight="false" outlineLevel="0" collapsed="false">
      <c r="A218" s="1" t="s">
        <v>2184</v>
      </c>
      <c r="B218" s="1" t="s">
        <v>2185</v>
      </c>
      <c r="C218" s="1" t="s">
        <v>2186</v>
      </c>
      <c r="D218" s="1" t="n">
        <v>2</v>
      </c>
      <c r="E218" s="1" t="s">
        <v>1548</v>
      </c>
      <c r="F218" s="1" t="str">
        <f aca="false">IFERROR(VLOOKUP(C218, threat_intelligence A:B, 2, 0), "Not Exploited")</f>
        <v>Not Exploited</v>
      </c>
      <c r="G218" s="1"/>
    </row>
    <row r="219" customFormat="false" ht="13" hidden="false" customHeight="false" outlineLevel="0" collapsed="false">
      <c r="A219" s="1" t="s">
        <v>2187</v>
      </c>
      <c r="B219" s="1" t="s">
        <v>2188</v>
      </c>
      <c r="C219" s="1" t="s">
        <v>2189</v>
      </c>
      <c r="D219" s="1" t="n">
        <v>4</v>
      </c>
      <c r="E219" s="1" t="s">
        <v>1530</v>
      </c>
      <c r="F219" s="1" t="str">
        <f aca="false">IFERROR(VLOOKUP(C219, threat_intelligence A:B, 2, 0), "Not Exploited")</f>
        <v>Not Exploited</v>
      </c>
      <c r="G219" s="1"/>
    </row>
    <row r="220" customFormat="false" ht="13" hidden="false" customHeight="false" outlineLevel="0" collapsed="false">
      <c r="A220" s="1" t="s">
        <v>2190</v>
      </c>
      <c r="B220" s="1" t="s">
        <v>2191</v>
      </c>
      <c r="C220" s="1" t="s">
        <v>2192</v>
      </c>
      <c r="D220" s="1" t="n">
        <v>2</v>
      </c>
      <c r="E220" s="1" t="s">
        <v>1549</v>
      </c>
      <c r="F220" s="1" t="str">
        <f aca="false">IFERROR(VLOOKUP(C220, threat_intelligence A:B, 2, 0), "Not Exploited")</f>
        <v>Not Exploited</v>
      </c>
      <c r="G220" s="1"/>
    </row>
    <row r="221" customFormat="false" ht="13" hidden="false" customHeight="false" outlineLevel="0" collapsed="false">
      <c r="A221" s="1" t="s">
        <v>2193</v>
      </c>
      <c r="B221" s="1" t="s">
        <v>2194</v>
      </c>
      <c r="C221" s="1" t="s">
        <v>2195</v>
      </c>
      <c r="D221" s="1" t="n">
        <v>2</v>
      </c>
      <c r="E221" s="1" t="s">
        <v>1548</v>
      </c>
      <c r="F221" s="1" t="str">
        <f aca="false">IFERROR(VLOOKUP(C221, threat_intelligence A:B, 2, 0), "Not Exploited")</f>
        <v>Not Exploited</v>
      </c>
      <c r="G221" s="1"/>
    </row>
    <row r="222" customFormat="false" ht="13" hidden="false" customHeight="false" outlineLevel="0" collapsed="false">
      <c r="A222" s="1" t="s">
        <v>2196</v>
      </c>
      <c r="B222" s="1" t="s">
        <v>2197</v>
      </c>
      <c r="C222" s="1" t="s">
        <v>2198</v>
      </c>
      <c r="D222" s="1" t="n">
        <v>9</v>
      </c>
      <c r="E222" s="1" t="s">
        <v>1548</v>
      </c>
      <c r="F222" s="1" t="str">
        <f aca="false">IFERROR(VLOOKUP(C222, threat_intelligence A:B, 2, 0), "Not Exploited")</f>
        <v>Not Exploited</v>
      </c>
      <c r="G222" s="1"/>
    </row>
    <row r="223" customFormat="false" ht="13" hidden="false" customHeight="false" outlineLevel="0" collapsed="false">
      <c r="A223" s="1" t="s">
        <v>2199</v>
      </c>
      <c r="B223" s="1" t="s">
        <v>2200</v>
      </c>
      <c r="C223" s="1" t="s">
        <v>2201</v>
      </c>
      <c r="D223" s="1" t="n">
        <v>3</v>
      </c>
      <c r="E223" s="1" t="s">
        <v>1538</v>
      </c>
      <c r="F223" s="1" t="str">
        <f aca="false">IFERROR(VLOOKUP(C223, threat_intelligence A:B, 2, 0), "Not Exploited")</f>
        <v>Not Exploited</v>
      </c>
      <c r="G223" s="1"/>
    </row>
    <row r="224" customFormat="false" ht="13" hidden="false" customHeight="false" outlineLevel="0" collapsed="false">
      <c r="A224" s="1" t="s">
        <v>2202</v>
      </c>
      <c r="B224" s="1" t="s">
        <v>2203</v>
      </c>
      <c r="C224" s="1" t="s">
        <v>2204</v>
      </c>
      <c r="D224" s="1" t="n">
        <v>1</v>
      </c>
      <c r="E224" s="1" t="s">
        <v>1530</v>
      </c>
      <c r="F224" s="1" t="str">
        <f aca="false">IFERROR(VLOOKUP(C224, threat_intelligence A:B, 2, 0), "Not Exploited")</f>
        <v>Not Exploited</v>
      </c>
      <c r="G224" s="1"/>
    </row>
    <row r="225" customFormat="false" ht="13" hidden="false" customHeight="false" outlineLevel="0" collapsed="false">
      <c r="A225" s="1" t="s">
        <v>2205</v>
      </c>
      <c r="B225" s="1" t="s">
        <v>2206</v>
      </c>
      <c r="C225" s="1" t="s">
        <v>2207</v>
      </c>
      <c r="D225" s="1" t="n">
        <v>8</v>
      </c>
      <c r="E225" s="1" t="s">
        <v>1548</v>
      </c>
      <c r="F225" s="1" t="str">
        <f aca="false">IFERROR(VLOOKUP(C225, threat_intelligence A:B, 2, 0), "Not Exploited")</f>
        <v>Not Exploited</v>
      </c>
      <c r="G225" s="1"/>
    </row>
    <row r="226" customFormat="false" ht="13" hidden="false" customHeight="false" outlineLevel="0" collapsed="false">
      <c r="A226" s="1" t="s">
        <v>2208</v>
      </c>
      <c r="B226" s="1" t="s">
        <v>2209</v>
      </c>
      <c r="C226" s="1" t="s">
        <v>2210</v>
      </c>
      <c r="D226" s="1" t="n">
        <v>6</v>
      </c>
      <c r="E226" s="1" t="s">
        <v>1526</v>
      </c>
      <c r="F226" s="1" t="str">
        <f aca="false">IFERROR(VLOOKUP(C226, threat_intelligence A:B, 2, 0), "Not Exploited")</f>
        <v>Not Exploited</v>
      </c>
      <c r="G226" s="1"/>
    </row>
    <row r="227" customFormat="false" ht="13" hidden="false" customHeight="false" outlineLevel="0" collapsed="false">
      <c r="A227" s="1" t="s">
        <v>2211</v>
      </c>
      <c r="B227" s="1" t="s">
        <v>2212</v>
      </c>
      <c r="C227" s="1" t="s">
        <v>2213</v>
      </c>
      <c r="D227" s="1" t="n">
        <v>3</v>
      </c>
      <c r="E227" s="1" t="s">
        <v>1548</v>
      </c>
      <c r="F227" s="1" t="str">
        <f aca="false">IFERROR(VLOOKUP(C227, threat_intelligence A:B, 2, 0), "Not Exploited")</f>
        <v>Not Exploited</v>
      </c>
      <c r="G227" s="1"/>
    </row>
    <row r="228" customFormat="false" ht="13" hidden="false" customHeight="false" outlineLevel="0" collapsed="false">
      <c r="A228" s="1" t="s">
        <v>2214</v>
      </c>
      <c r="B228" s="1" t="s">
        <v>2215</v>
      </c>
      <c r="C228" s="1" t="s">
        <v>2216</v>
      </c>
      <c r="D228" s="1" t="n">
        <v>8</v>
      </c>
      <c r="E228" s="1" t="s">
        <v>1526</v>
      </c>
      <c r="F228" s="1" t="str">
        <f aca="false">IFERROR(VLOOKUP(C228, threat_intelligence A:B, 2, 0), "Not Exploited")</f>
        <v>Not Exploited</v>
      </c>
      <c r="G228" s="1"/>
    </row>
    <row r="229" customFormat="false" ht="13" hidden="false" customHeight="false" outlineLevel="0" collapsed="false">
      <c r="A229" s="1" t="s">
        <v>2217</v>
      </c>
      <c r="B229" s="1" t="s">
        <v>2218</v>
      </c>
      <c r="C229" s="1" t="s">
        <v>2219</v>
      </c>
      <c r="D229" s="1" t="n">
        <v>2</v>
      </c>
      <c r="E229" s="1" t="s">
        <v>1549</v>
      </c>
      <c r="F229" s="1" t="str">
        <f aca="false">IFERROR(VLOOKUP(C229, threat_intelligence A:B, 2, 0), "Not Exploited")</f>
        <v>Not Exploited</v>
      </c>
      <c r="G229" s="1"/>
    </row>
    <row r="230" customFormat="false" ht="13" hidden="false" customHeight="false" outlineLevel="0" collapsed="false">
      <c r="A230" s="1" t="s">
        <v>2220</v>
      </c>
      <c r="B230" s="1" t="s">
        <v>2221</v>
      </c>
      <c r="C230" s="1" t="s">
        <v>2222</v>
      </c>
      <c r="D230" s="1" t="n">
        <v>7</v>
      </c>
      <c r="E230" s="1" t="s">
        <v>1549</v>
      </c>
      <c r="F230" s="1" t="str">
        <f aca="false">IFERROR(VLOOKUP(C230, threat_intelligence A:B, 2, 0), "Not Exploited")</f>
        <v>Not Exploited</v>
      </c>
      <c r="G230" s="1"/>
    </row>
    <row r="231" customFormat="false" ht="13" hidden="false" customHeight="false" outlineLevel="0" collapsed="false">
      <c r="A231" s="1" t="s">
        <v>2223</v>
      </c>
      <c r="B231" s="1" t="s">
        <v>2224</v>
      </c>
      <c r="C231" s="1" t="s">
        <v>2225</v>
      </c>
      <c r="D231" s="1" t="n">
        <v>2</v>
      </c>
      <c r="E231" s="1" t="s">
        <v>1526</v>
      </c>
      <c r="F231" s="1" t="str">
        <f aca="false">IFERROR(VLOOKUP(C231, threat_intelligence A:B, 2, 0), "Not Exploited")</f>
        <v>Not Exploited</v>
      </c>
      <c r="G231" s="1"/>
    </row>
    <row r="232" customFormat="false" ht="13" hidden="false" customHeight="false" outlineLevel="0" collapsed="false">
      <c r="A232" s="1" t="s">
        <v>2226</v>
      </c>
      <c r="B232" s="1" t="s">
        <v>2227</v>
      </c>
      <c r="C232" s="1" t="s">
        <v>2228</v>
      </c>
      <c r="D232" s="1" t="n">
        <v>4</v>
      </c>
      <c r="E232" s="1" t="s">
        <v>1549</v>
      </c>
      <c r="F232" s="1" t="str">
        <f aca="false">IFERROR(VLOOKUP(C232, threat_intelligence A:B, 2, 0), "Not Exploited")</f>
        <v>Not Exploited</v>
      </c>
      <c r="G232" s="1"/>
    </row>
    <row r="233" customFormat="false" ht="13" hidden="false" customHeight="false" outlineLevel="0" collapsed="false">
      <c r="A233" s="1" t="s">
        <v>2229</v>
      </c>
      <c r="B233" s="1" t="s">
        <v>2230</v>
      </c>
      <c r="C233" s="1" t="s">
        <v>2231</v>
      </c>
      <c r="D233" s="1" t="n">
        <v>9</v>
      </c>
      <c r="E233" s="1" t="s">
        <v>1530</v>
      </c>
      <c r="F233" s="1" t="str">
        <f aca="false">IFERROR(VLOOKUP(C233, threat_intelligence A:B, 2, 0), "Not Exploited")</f>
        <v>Not Exploited</v>
      </c>
      <c r="G233" s="1"/>
    </row>
    <row r="234" customFormat="false" ht="13" hidden="false" customHeight="false" outlineLevel="0" collapsed="false">
      <c r="A234" s="1" t="s">
        <v>2232</v>
      </c>
      <c r="B234" s="1" t="s">
        <v>2233</v>
      </c>
      <c r="C234" s="1" t="s">
        <v>2234</v>
      </c>
      <c r="D234" s="1" t="n">
        <v>2</v>
      </c>
      <c r="E234" s="1" t="s">
        <v>1538</v>
      </c>
      <c r="F234" s="1" t="str">
        <f aca="false">IFERROR(VLOOKUP(C234, threat_intelligence A:B, 2, 0), "Not Exploited")</f>
        <v>Not Exploited</v>
      </c>
      <c r="G234" s="1"/>
    </row>
    <row r="235" customFormat="false" ht="13" hidden="false" customHeight="false" outlineLevel="0" collapsed="false">
      <c r="A235" s="1" t="s">
        <v>2235</v>
      </c>
      <c r="B235" s="1" t="s">
        <v>2236</v>
      </c>
      <c r="C235" s="1" t="s">
        <v>2237</v>
      </c>
      <c r="D235" s="1" t="n">
        <v>4</v>
      </c>
      <c r="E235" s="1" t="s">
        <v>1530</v>
      </c>
      <c r="F235" s="1" t="str">
        <f aca="false">IFERROR(VLOOKUP(C235, threat_intelligence A:B, 2, 0), "Not Exploited")</f>
        <v>Not Exploited</v>
      </c>
      <c r="G235" s="1"/>
    </row>
    <row r="236" customFormat="false" ht="13" hidden="false" customHeight="false" outlineLevel="0" collapsed="false">
      <c r="A236" s="1" t="s">
        <v>2238</v>
      </c>
      <c r="B236" s="1" t="s">
        <v>2239</v>
      </c>
      <c r="C236" s="1" t="s">
        <v>2240</v>
      </c>
      <c r="D236" s="1" t="n">
        <v>8</v>
      </c>
      <c r="E236" s="1" t="s">
        <v>1538</v>
      </c>
      <c r="F236" s="1" t="str">
        <f aca="false">IFERROR(VLOOKUP(C236, threat_intelligence A:B, 2, 0), "Not Exploited")</f>
        <v>Not Exploited</v>
      </c>
      <c r="G236" s="1"/>
    </row>
    <row r="237" customFormat="false" ht="13" hidden="false" customHeight="false" outlineLevel="0" collapsed="false">
      <c r="A237" s="1" t="s">
        <v>2241</v>
      </c>
      <c r="B237" s="1" t="s">
        <v>2242</v>
      </c>
      <c r="C237" s="1" t="s">
        <v>2243</v>
      </c>
      <c r="D237" s="1" t="n">
        <v>9</v>
      </c>
      <c r="E237" s="1" t="s">
        <v>1548</v>
      </c>
      <c r="F237" s="1" t="str">
        <f aca="false">IFERROR(VLOOKUP(C237, threat_intelligence A:B, 2, 0), "Not Exploited")</f>
        <v>Not Exploited</v>
      </c>
      <c r="G237" s="1"/>
    </row>
    <row r="238" customFormat="false" ht="13" hidden="false" customHeight="false" outlineLevel="0" collapsed="false">
      <c r="A238" s="1" t="s">
        <v>2244</v>
      </c>
      <c r="B238" s="1" t="s">
        <v>2245</v>
      </c>
      <c r="C238" s="1" t="s">
        <v>2246</v>
      </c>
      <c r="D238" s="1" t="n">
        <v>3</v>
      </c>
      <c r="E238" s="1" t="s">
        <v>1549</v>
      </c>
      <c r="F238" s="1" t="str">
        <f aca="false">IFERROR(VLOOKUP(C238, threat_intelligence A:B, 2, 0), "Not Exploited")</f>
        <v>Not Exploited</v>
      </c>
      <c r="G238" s="1"/>
    </row>
    <row r="239" customFormat="false" ht="13" hidden="false" customHeight="false" outlineLevel="0" collapsed="false">
      <c r="A239" s="1" t="s">
        <v>2247</v>
      </c>
      <c r="B239" s="1" t="s">
        <v>2248</v>
      </c>
      <c r="C239" s="1" t="s">
        <v>2249</v>
      </c>
      <c r="D239" s="1" t="n">
        <v>4</v>
      </c>
      <c r="E239" s="1" t="s">
        <v>1530</v>
      </c>
      <c r="F239" s="1" t="str">
        <f aca="false">IFERROR(VLOOKUP(C239, threat_intelligence A:B, 2, 0), "Not Exploited")</f>
        <v>Not Exploited</v>
      </c>
      <c r="G239" s="1"/>
    </row>
    <row r="240" customFormat="false" ht="13" hidden="false" customHeight="false" outlineLevel="0" collapsed="false">
      <c r="A240" s="1" t="s">
        <v>2250</v>
      </c>
      <c r="B240" s="1" t="s">
        <v>2251</v>
      </c>
      <c r="C240" s="1" t="s">
        <v>2252</v>
      </c>
      <c r="D240" s="1" t="n">
        <v>9</v>
      </c>
      <c r="E240" s="1" t="s">
        <v>1538</v>
      </c>
      <c r="F240" s="1" t="str">
        <f aca="false">IFERROR(VLOOKUP(C240, threat_intelligence A:B, 2, 0), "Not Exploited")</f>
        <v>Not Exploited</v>
      </c>
      <c r="G240" s="1"/>
    </row>
    <row r="241" customFormat="false" ht="13" hidden="false" customHeight="false" outlineLevel="0" collapsed="false">
      <c r="A241" s="1" t="s">
        <v>2253</v>
      </c>
      <c r="B241" s="1" t="s">
        <v>2254</v>
      </c>
      <c r="C241" s="1" t="s">
        <v>2255</v>
      </c>
      <c r="D241" s="1" t="n">
        <v>8</v>
      </c>
      <c r="E241" s="1" t="s">
        <v>1526</v>
      </c>
      <c r="F241" s="1" t="str">
        <f aca="false">IFERROR(VLOOKUP(C241, threat_intelligence A:B, 2, 0), "Not Exploited")</f>
        <v>Not Exploited</v>
      </c>
      <c r="G241" s="1"/>
    </row>
    <row r="242" customFormat="false" ht="13" hidden="false" customHeight="false" outlineLevel="0" collapsed="false">
      <c r="A242" s="1" t="s">
        <v>2256</v>
      </c>
      <c r="B242" s="1" t="s">
        <v>2257</v>
      </c>
      <c r="C242" s="1" t="s">
        <v>2258</v>
      </c>
      <c r="D242" s="1" t="n">
        <v>1</v>
      </c>
      <c r="E242" s="1" t="s">
        <v>1549</v>
      </c>
      <c r="F242" s="1" t="str">
        <f aca="false">IFERROR(VLOOKUP(C242, threat_intelligence A:B, 2, 0), "Not Exploited")</f>
        <v>Not Exploited</v>
      </c>
      <c r="G242" s="1"/>
    </row>
    <row r="243" customFormat="false" ht="13" hidden="false" customHeight="false" outlineLevel="0" collapsed="false">
      <c r="A243" s="1" t="s">
        <v>2259</v>
      </c>
      <c r="B243" s="1" t="s">
        <v>2260</v>
      </c>
      <c r="C243" s="1" t="s">
        <v>2261</v>
      </c>
      <c r="D243" s="1" t="n">
        <v>1</v>
      </c>
      <c r="E243" s="1" t="s">
        <v>1526</v>
      </c>
      <c r="F243" s="1" t="str">
        <f aca="false">IFERROR(VLOOKUP(C243, threat_intelligence A:B, 2, 0), "Not Exploited")</f>
        <v>Not Exploited</v>
      </c>
      <c r="G243" s="1"/>
    </row>
    <row r="244" customFormat="false" ht="13" hidden="false" customHeight="false" outlineLevel="0" collapsed="false">
      <c r="A244" s="1" t="s">
        <v>2262</v>
      </c>
      <c r="B244" s="1" t="s">
        <v>2263</v>
      </c>
      <c r="C244" s="1" t="s">
        <v>2264</v>
      </c>
      <c r="D244" s="1" t="n">
        <v>7</v>
      </c>
      <c r="E244" s="1" t="s">
        <v>1530</v>
      </c>
      <c r="F244" s="1" t="str">
        <f aca="false">IFERROR(VLOOKUP(C244, threat_intelligence A:B, 2, 0), "Not Exploited")</f>
        <v>Not Exploited</v>
      </c>
      <c r="G244" s="1"/>
    </row>
    <row r="245" customFormat="false" ht="13" hidden="false" customHeight="false" outlineLevel="0" collapsed="false">
      <c r="A245" s="1" t="s">
        <v>2265</v>
      </c>
      <c r="B245" s="1" t="s">
        <v>2266</v>
      </c>
      <c r="C245" s="1" t="s">
        <v>2267</v>
      </c>
      <c r="D245" s="1" t="n">
        <v>1</v>
      </c>
      <c r="E245" s="1" t="s">
        <v>1548</v>
      </c>
      <c r="F245" s="1" t="str">
        <f aca="false">IFERROR(VLOOKUP(C245, threat_intelligence A:B, 2, 0), "Not Exploited")</f>
        <v>Not Exploited</v>
      </c>
      <c r="G245" s="1"/>
    </row>
    <row r="246" customFormat="false" ht="13" hidden="false" customHeight="false" outlineLevel="0" collapsed="false">
      <c r="A246" s="1" t="s">
        <v>2268</v>
      </c>
      <c r="B246" s="1" t="s">
        <v>2269</v>
      </c>
      <c r="C246" s="1" t="s">
        <v>2270</v>
      </c>
      <c r="D246" s="1" t="n">
        <v>5</v>
      </c>
      <c r="E246" s="1" t="s">
        <v>1548</v>
      </c>
      <c r="F246" s="1" t="str">
        <f aca="false">IFERROR(VLOOKUP(C246, threat_intelligence A:B, 2, 0), "Not Exploited")</f>
        <v>Not Exploited</v>
      </c>
      <c r="G246" s="1"/>
    </row>
    <row r="247" customFormat="false" ht="13" hidden="false" customHeight="false" outlineLevel="0" collapsed="false">
      <c r="A247" s="1" t="s">
        <v>2271</v>
      </c>
      <c r="B247" s="1" t="s">
        <v>2272</v>
      </c>
      <c r="C247" s="1" t="s">
        <v>2273</v>
      </c>
      <c r="D247" s="1" t="n">
        <v>9</v>
      </c>
      <c r="E247" s="1" t="s">
        <v>1526</v>
      </c>
      <c r="F247" s="1" t="str">
        <f aca="false">IFERROR(VLOOKUP(C247, threat_intelligence A:B, 2, 0), "Not Exploited")</f>
        <v>Not Exploited</v>
      </c>
      <c r="G247" s="1"/>
    </row>
    <row r="248" customFormat="false" ht="13" hidden="false" customHeight="false" outlineLevel="0" collapsed="false">
      <c r="A248" s="1" t="s">
        <v>2274</v>
      </c>
      <c r="B248" s="1" t="s">
        <v>2275</v>
      </c>
      <c r="C248" s="1" t="s">
        <v>2276</v>
      </c>
      <c r="D248" s="1" t="n">
        <v>4</v>
      </c>
      <c r="E248" s="1" t="s">
        <v>1530</v>
      </c>
      <c r="F248" s="1" t="str">
        <f aca="false">IFERROR(VLOOKUP(C248, threat_intelligence A:B, 2, 0), "Not Exploited")</f>
        <v>Not Exploited</v>
      </c>
      <c r="G248" s="1"/>
    </row>
    <row r="249" customFormat="false" ht="13" hidden="false" customHeight="false" outlineLevel="0" collapsed="false">
      <c r="A249" s="1" t="s">
        <v>2277</v>
      </c>
      <c r="B249" s="1" t="s">
        <v>2278</v>
      </c>
      <c r="C249" s="1" t="s">
        <v>2279</v>
      </c>
      <c r="D249" s="1" t="n">
        <v>9</v>
      </c>
      <c r="E249" s="1" t="s">
        <v>1538</v>
      </c>
      <c r="F249" s="1" t="str">
        <f aca="false">IFERROR(VLOOKUP(C249, threat_intelligence A:B, 2, 0), "Not Exploited")</f>
        <v>Not Exploited</v>
      </c>
      <c r="G249" s="1"/>
    </row>
    <row r="250" customFormat="false" ht="13" hidden="false" customHeight="false" outlineLevel="0" collapsed="false">
      <c r="A250" s="1" t="s">
        <v>2280</v>
      </c>
      <c r="B250" s="1" t="s">
        <v>2281</v>
      </c>
      <c r="C250" s="1" t="s">
        <v>2282</v>
      </c>
      <c r="D250" s="1" t="n">
        <v>1</v>
      </c>
      <c r="E250" s="1" t="s">
        <v>1548</v>
      </c>
      <c r="F250" s="1" t="str">
        <f aca="false">IFERROR(VLOOKUP(C250, threat_intelligence A:B, 2, 0), "Not Exploited")</f>
        <v>Not Exploited</v>
      </c>
      <c r="G250" s="1"/>
    </row>
    <row r="251" customFormat="false" ht="13" hidden="false" customHeight="false" outlineLevel="0" collapsed="false">
      <c r="A251" s="1" t="s">
        <v>2283</v>
      </c>
      <c r="B251" s="1" t="s">
        <v>2284</v>
      </c>
      <c r="C251" s="1" t="s">
        <v>2285</v>
      </c>
      <c r="D251" s="1" t="n">
        <v>8</v>
      </c>
      <c r="E251" s="1" t="s">
        <v>1526</v>
      </c>
      <c r="F251" s="1" t="str">
        <f aca="false">IFERROR(VLOOKUP(C251, threat_intelligence A:B, 2, 0), "Not Exploited")</f>
        <v>Not Exploited</v>
      </c>
      <c r="G251" s="1"/>
    </row>
    <row r="252" customFormat="false" ht="13" hidden="false" customHeight="false" outlineLevel="0" collapsed="false">
      <c r="A252" s="1" t="s">
        <v>2286</v>
      </c>
      <c r="B252" s="1" t="s">
        <v>2287</v>
      </c>
      <c r="C252" s="1" t="s">
        <v>2288</v>
      </c>
      <c r="D252" s="1" t="n">
        <v>6</v>
      </c>
      <c r="E252" s="1" t="s">
        <v>1526</v>
      </c>
      <c r="F252" s="1" t="str">
        <f aca="false">IFERROR(VLOOKUP(C252, threat_intelligence A:B, 2, 0), "Not Exploited")</f>
        <v>Not Exploited</v>
      </c>
      <c r="G252" s="1"/>
    </row>
    <row r="253" customFormat="false" ht="13" hidden="false" customHeight="false" outlineLevel="0" collapsed="false">
      <c r="A253" s="1" t="s">
        <v>2289</v>
      </c>
      <c r="B253" s="1" t="s">
        <v>2290</v>
      </c>
      <c r="C253" s="1" t="s">
        <v>2291</v>
      </c>
      <c r="D253" s="1" t="n">
        <v>1</v>
      </c>
      <c r="E253" s="1" t="s">
        <v>1538</v>
      </c>
      <c r="F253" s="1" t="str">
        <f aca="false">IFERROR(VLOOKUP(C253, threat_intelligence A:B, 2, 0), "Not Exploited")</f>
        <v>Not Exploited</v>
      </c>
      <c r="G253" s="1"/>
    </row>
    <row r="254" customFormat="false" ht="13" hidden="false" customHeight="false" outlineLevel="0" collapsed="false">
      <c r="A254" s="1" t="s">
        <v>2292</v>
      </c>
      <c r="B254" s="1" t="s">
        <v>2293</v>
      </c>
      <c r="C254" s="1" t="s">
        <v>2294</v>
      </c>
      <c r="D254" s="1" t="n">
        <v>3</v>
      </c>
      <c r="E254" s="1" t="s">
        <v>1538</v>
      </c>
      <c r="F254" s="1" t="str">
        <f aca="false">IFERROR(VLOOKUP(C254, threat_intelligence A:B, 2, 0), "Not Exploited")</f>
        <v>Not Exploited</v>
      </c>
      <c r="G254" s="1"/>
    </row>
    <row r="255" customFormat="false" ht="13" hidden="false" customHeight="false" outlineLevel="0" collapsed="false">
      <c r="A255" s="1" t="s">
        <v>2295</v>
      </c>
      <c r="B255" s="1" t="s">
        <v>2296</v>
      </c>
      <c r="C255" s="1" t="s">
        <v>2297</v>
      </c>
      <c r="D255" s="1" t="n">
        <v>7</v>
      </c>
      <c r="E255" s="1" t="s">
        <v>1549</v>
      </c>
      <c r="F255" s="1" t="str">
        <f aca="false">IFERROR(VLOOKUP(C255, threat_intelligence A:B, 2, 0), "Not Exploited")</f>
        <v>Not Exploited</v>
      </c>
      <c r="G255" s="1"/>
    </row>
    <row r="256" customFormat="false" ht="13" hidden="false" customHeight="false" outlineLevel="0" collapsed="false">
      <c r="A256" s="1" t="s">
        <v>2298</v>
      </c>
      <c r="B256" s="1" t="s">
        <v>2299</v>
      </c>
      <c r="C256" s="1" t="s">
        <v>2300</v>
      </c>
      <c r="D256" s="1" t="n">
        <v>7</v>
      </c>
      <c r="E256" s="1" t="s">
        <v>1526</v>
      </c>
      <c r="F256" s="1" t="str">
        <f aca="false">IFERROR(VLOOKUP(C256, threat_intelligence A:B, 2, 0), "Not Exploited")</f>
        <v>Not Exploited</v>
      </c>
      <c r="G256" s="1"/>
    </row>
    <row r="257" customFormat="false" ht="13" hidden="false" customHeight="false" outlineLevel="0" collapsed="false">
      <c r="A257" s="1" t="s">
        <v>2301</v>
      </c>
      <c r="B257" s="1" t="s">
        <v>2302</v>
      </c>
      <c r="C257" s="1" t="s">
        <v>2303</v>
      </c>
      <c r="D257" s="1" t="n">
        <v>3</v>
      </c>
      <c r="E257" s="1" t="s">
        <v>1530</v>
      </c>
      <c r="F257" s="1" t="str">
        <f aca="false">IFERROR(VLOOKUP(C257, threat_intelligence A:B, 2, 0), "Not Exploited")</f>
        <v>Not Exploited</v>
      </c>
      <c r="G257" s="1"/>
    </row>
    <row r="258" customFormat="false" ht="13" hidden="false" customHeight="false" outlineLevel="0" collapsed="false">
      <c r="A258" s="1" t="s">
        <v>2304</v>
      </c>
      <c r="B258" s="1" t="s">
        <v>2305</v>
      </c>
      <c r="C258" s="1" t="s">
        <v>2306</v>
      </c>
      <c r="D258" s="1" t="n">
        <v>3</v>
      </c>
      <c r="E258" s="1" t="s">
        <v>1549</v>
      </c>
      <c r="F258" s="1" t="str">
        <f aca="false">IFERROR(VLOOKUP(C258, threat_intelligence A:B, 2, 0), "Not Exploited")</f>
        <v>Not Exploited</v>
      </c>
      <c r="G258" s="1"/>
    </row>
    <row r="259" customFormat="false" ht="13" hidden="false" customHeight="false" outlineLevel="0" collapsed="false">
      <c r="A259" s="1" t="s">
        <v>2307</v>
      </c>
      <c r="B259" s="1" t="s">
        <v>2308</v>
      </c>
      <c r="C259" s="1" t="s">
        <v>2309</v>
      </c>
      <c r="D259" s="1" t="n">
        <v>8</v>
      </c>
      <c r="E259" s="1" t="s">
        <v>1538</v>
      </c>
      <c r="F259" s="1" t="str">
        <f aca="false">IFERROR(VLOOKUP(C259, threat_intelligence A:B, 2, 0), "Not Exploited")</f>
        <v>Not Exploited</v>
      </c>
      <c r="G259" s="1"/>
    </row>
    <row r="260" customFormat="false" ht="13" hidden="false" customHeight="false" outlineLevel="0" collapsed="false">
      <c r="A260" s="1" t="s">
        <v>2310</v>
      </c>
      <c r="B260" s="1" t="s">
        <v>2311</v>
      </c>
      <c r="C260" s="1" t="s">
        <v>2312</v>
      </c>
      <c r="D260" s="1" t="n">
        <v>3</v>
      </c>
      <c r="E260" s="1" t="s">
        <v>1549</v>
      </c>
      <c r="F260" s="1" t="str">
        <f aca="false">IFERROR(VLOOKUP(C260, threat_intelligence A:B, 2, 0), "Not Exploited")</f>
        <v>Not Exploited</v>
      </c>
      <c r="G260" s="1"/>
    </row>
    <row r="261" customFormat="false" ht="13" hidden="false" customHeight="false" outlineLevel="0" collapsed="false">
      <c r="A261" s="1" t="s">
        <v>2313</v>
      </c>
      <c r="B261" s="1" t="s">
        <v>2314</v>
      </c>
      <c r="C261" s="1" t="s">
        <v>2315</v>
      </c>
      <c r="D261" s="1" t="n">
        <v>4</v>
      </c>
      <c r="E261" s="1" t="s">
        <v>1548</v>
      </c>
      <c r="F261" s="1" t="str">
        <f aca="false">IFERROR(VLOOKUP(C261, threat_intelligence A:B, 2, 0), "Not Exploited")</f>
        <v>Not Exploited</v>
      </c>
      <c r="G261" s="1"/>
    </row>
    <row r="262" customFormat="false" ht="13" hidden="false" customHeight="false" outlineLevel="0" collapsed="false">
      <c r="A262" s="1" t="s">
        <v>2316</v>
      </c>
      <c r="B262" s="1" t="s">
        <v>2317</v>
      </c>
      <c r="C262" s="1" t="s">
        <v>2318</v>
      </c>
      <c r="D262" s="1" t="n">
        <v>7</v>
      </c>
      <c r="E262" s="1" t="s">
        <v>1538</v>
      </c>
      <c r="F262" s="1" t="str">
        <f aca="false">IFERROR(VLOOKUP(C262, threat_intelligence A:B, 2, 0), "Not Exploited")</f>
        <v>Not Exploited</v>
      </c>
      <c r="G262" s="1"/>
    </row>
    <row r="263" customFormat="false" ht="13" hidden="false" customHeight="false" outlineLevel="0" collapsed="false">
      <c r="A263" s="1" t="s">
        <v>2319</v>
      </c>
      <c r="B263" s="1" t="s">
        <v>2320</v>
      </c>
      <c r="C263" s="1" t="s">
        <v>2321</v>
      </c>
      <c r="D263" s="1" t="n">
        <v>3</v>
      </c>
      <c r="E263" s="1" t="s">
        <v>1530</v>
      </c>
      <c r="F263" s="1" t="str">
        <f aca="false">IFERROR(VLOOKUP(C263, threat_intelligence A:B, 2, 0), "Not Exploited")</f>
        <v>Not Exploited</v>
      </c>
      <c r="G263" s="1"/>
    </row>
    <row r="264" customFormat="false" ht="13" hidden="false" customHeight="false" outlineLevel="0" collapsed="false">
      <c r="A264" s="1" t="s">
        <v>2322</v>
      </c>
      <c r="B264" s="1" t="s">
        <v>2323</v>
      </c>
      <c r="C264" s="1" t="s">
        <v>1955</v>
      </c>
      <c r="D264" s="1" t="n">
        <v>8</v>
      </c>
      <c r="E264" s="1" t="s">
        <v>1548</v>
      </c>
      <c r="F264" s="1" t="str">
        <f aca="false">IFERROR(VLOOKUP(C264, threat_intelligence A:B, 2, 0), "Not Exploited")</f>
        <v>Not Exploited</v>
      </c>
      <c r="G264" s="1"/>
    </row>
    <row r="265" customFormat="false" ht="13" hidden="false" customHeight="false" outlineLevel="0" collapsed="false">
      <c r="A265" s="1" t="s">
        <v>2324</v>
      </c>
      <c r="B265" s="1" t="s">
        <v>2325</v>
      </c>
      <c r="C265" s="1" t="s">
        <v>2326</v>
      </c>
      <c r="D265" s="1" t="n">
        <v>6</v>
      </c>
      <c r="E265" s="1" t="s">
        <v>1526</v>
      </c>
      <c r="F265" s="1" t="str">
        <f aca="false">IFERROR(VLOOKUP(C265, threat_intelligence A:B, 2, 0), "Not Exploited")</f>
        <v>Not Exploited</v>
      </c>
      <c r="G265" s="1"/>
    </row>
    <row r="266" customFormat="false" ht="13" hidden="false" customHeight="false" outlineLevel="0" collapsed="false">
      <c r="A266" s="1" t="s">
        <v>2327</v>
      </c>
      <c r="B266" s="1" t="s">
        <v>2328</v>
      </c>
      <c r="C266" s="1" t="s">
        <v>2329</v>
      </c>
      <c r="D266" s="1" t="n">
        <v>5</v>
      </c>
      <c r="E266" s="1" t="s">
        <v>1549</v>
      </c>
      <c r="F266" s="1" t="str">
        <f aca="false">IFERROR(VLOOKUP(C266, threat_intelligence A:B, 2, 0), "Not Exploited")</f>
        <v>Not Exploited</v>
      </c>
      <c r="G266" s="1"/>
    </row>
    <row r="267" customFormat="false" ht="13" hidden="false" customHeight="false" outlineLevel="0" collapsed="false">
      <c r="A267" s="1" t="s">
        <v>2330</v>
      </c>
      <c r="B267" s="1" t="s">
        <v>2331</v>
      </c>
      <c r="C267" s="1" t="s">
        <v>2332</v>
      </c>
      <c r="D267" s="1" t="n">
        <v>7</v>
      </c>
      <c r="E267" s="1" t="s">
        <v>1526</v>
      </c>
      <c r="F267" s="1" t="str">
        <f aca="false">IFERROR(VLOOKUP(C267, threat_intelligence A:B, 2, 0), "Not Exploited")</f>
        <v>Not Exploited</v>
      </c>
      <c r="G267" s="1"/>
    </row>
    <row r="268" customFormat="false" ht="13" hidden="false" customHeight="false" outlineLevel="0" collapsed="false">
      <c r="A268" s="1" t="s">
        <v>2333</v>
      </c>
      <c r="B268" s="1" t="s">
        <v>2334</v>
      </c>
      <c r="C268" s="1" t="s">
        <v>2335</v>
      </c>
      <c r="D268" s="1" t="n">
        <v>3</v>
      </c>
      <c r="E268" s="1" t="s">
        <v>1548</v>
      </c>
      <c r="F268" s="1" t="str">
        <f aca="false">IFERROR(VLOOKUP(C268, threat_intelligence A:B, 2, 0), "Not Exploited")</f>
        <v>Not Exploited</v>
      </c>
      <c r="G268" s="1"/>
    </row>
    <row r="269" customFormat="false" ht="13" hidden="false" customHeight="false" outlineLevel="0" collapsed="false">
      <c r="A269" s="1" t="s">
        <v>2336</v>
      </c>
      <c r="B269" s="1" t="s">
        <v>2337</v>
      </c>
      <c r="C269" s="1" t="s">
        <v>2338</v>
      </c>
      <c r="D269" s="1" t="n">
        <v>8</v>
      </c>
      <c r="E269" s="1" t="s">
        <v>1526</v>
      </c>
      <c r="F269" s="1" t="str">
        <f aca="false">IFERROR(VLOOKUP(C269, threat_intelligence A:B, 2, 0), "Not Exploited")</f>
        <v>Not Exploited</v>
      </c>
      <c r="G269" s="1"/>
    </row>
    <row r="270" customFormat="false" ht="13" hidden="false" customHeight="false" outlineLevel="0" collapsed="false">
      <c r="A270" s="1" t="s">
        <v>2339</v>
      </c>
      <c r="B270" s="1" t="s">
        <v>2340</v>
      </c>
      <c r="C270" s="1" t="s">
        <v>2341</v>
      </c>
      <c r="D270" s="1" t="n">
        <v>6</v>
      </c>
      <c r="E270" s="1" t="s">
        <v>1548</v>
      </c>
      <c r="F270" s="1" t="str">
        <f aca="false">IFERROR(VLOOKUP(C270, threat_intelligence A:B, 2, 0), "Not Exploited")</f>
        <v>Not Exploited</v>
      </c>
      <c r="G270" s="1"/>
    </row>
    <row r="271" customFormat="false" ht="13" hidden="false" customHeight="false" outlineLevel="0" collapsed="false">
      <c r="A271" s="1" t="s">
        <v>2342</v>
      </c>
      <c r="B271" s="1" t="s">
        <v>2343</v>
      </c>
      <c r="C271" s="1" t="s">
        <v>2344</v>
      </c>
      <c r="D271" s="1" t="n">
        <v>5</v>
      </c>
      <c r="E271" s="1" t="s">
        <v>1538</v>
      </c>
      <c r="F271" s="1" t="str">
        <f aca="false">IFERROR(VLOOKUP(C271, threat_intelligence A:B, 2, 0), "Not Exploited")</f>
        <v>Not Exploited</v>
      </c>
      <c r="G271" s="1"/>
    </row>
    <row r="272" customFormat="false" ht="13" hidden="false" customHeight="false" outlineLevel="0" collapsed="false">
      <c r="A272" s="1" t="s">
        <v>2345</v>
      </c>
      <c r="B272" s="1" t="s">
        <v>2346</v>
      </c>
      <c r="C272" s="1" t="s">
        <v>2347</v>
      </c>
      <c r="D272" s="1" t="n">
        <v>1</v>
      </c>
      <c r="E272" s="1" t="s">
        <v>1530</v>
      </c>
      <c r="F272" s="1" t="str">
        <f aca="false">IFERROR(VLOOKUP(C272, threat_intelligence A:B, 2, 0), "Not Exploited")</f>
        <v>Not Exploited</v>
      </c>
      <c r="G272" s="1"/>
    </row>
    <row r="273" customFormat="false" ht="13" hidden="false" customHeight="false" outlineLevel="0" collapsed="false">
      <c r="A273" s="1" t="s">
        <v>2348</v>
      </c>
      <c r="B273" s="1" t="s">
        <v>2349</v>
      </c>
      <c r="C273" s="1" t="s">
        <v>2350</v>
      </c>
      <c r="D273" s="1" t="n">
        <v>8</v>
      </c>
      <c r="E273" s="1" t="s">
        <v>1538</v>
      </c>
      <c r="F273" s="1" t="str">
        <f aca="false">IFERROR(VLOOKUP(C273, threat_intelligence A:B, 2, 0), "Not Exploited")</f>
        <v>Not Exploited</v>
      </c>
      <c r="G273" s="1"/>
    </row>
    <row r="274" customFormat="false" ht="13" hidden="false" customHeight="false" outlineLevel="0" collapsed="false">
      <c r="A274" s="1" t="s">
        <v>2351</v>
      </c>
      <c r="B274" s="1" t="s">
        <v>2352</v>
      </c>
      <c r="C274" s="1" t="s">
        <v>2353</v>
      </c>
      <c r="D274" s="1" t="n">
        <v>7</v>
      </c>
      <c r="E274" s="1" t="s">
        <v>1548</v>
      </c>
      <c r="F274" s="1" t="str">
        <f aca="false">IFERROR(VLOOKUP(C274, threat_intelligence A:B, 2, 0), "Not Exploited")</f>
        <v>Not Exploited</v>
      </c>
      <c r="G274" s="1"/>
    </row>
    <row r="275" customFormat="false" ht="13" hidden="false" customHeight="false" outlineLevel="0" collapsed="false">
      <c r="A275" s="1" t="s">
        <v>2354</v>
      </c>
      <c r="B275" s="1" t="s">
        <v>2355</v>
      </c>
      <c r="C275" s="1" t="s">
        <v>2356</v>
      </c>
      <c r="D275" s="1" t="n">
        <v>7</v>
      </c>
      <c r="E275" s="1" t="s">
        <v>1530</v>
      </c>
      <c r="F275" s="1" t="str">
        <f aca="false">IFERROR(VLOOKUP(C275, threat_intelligence A:B, 2, 0), "Not Exploited")</f>
        <v>Not Exploited</v>
      </c>
      <c r="G275" s="1"/>
    </row>
    <row r="276" customFormat="false" ht="13" hidden="false" customHeight="false" outlineLevel="0" collapsed="false">
      <c r="A276" s="1" t="s">
        <v>2357</v>
      </c>
      <c r="B276" s="1" t="s">
        <v>2358</v>
      </c>
      <c r="C276" s="1" t="s">
        <v>2359</v>
      </c>
      <c r="D276" s="1" t="n">
        <v>5</v>
      </c>
      <c r="E276" s="1" t="s">
        <v>1549</v>
      </c>
      <c r="F276" s="1" t="str">
        <f aca="false">IFERROR(VLOOKUP(C276, threat_intelligence A:B, 2, 0), "Not Exploited")</f>
        <v>Not Exploited</v>
      </c>
      <c r="G276" s="1"/>
    </row>
    <row r="277" customFormat="false" ht="13" hidden="false" customHeight="false" outlineLevel="0" collapsed="false">
      <c r="A277" s="1" t="s">
        <v>2360</v>
      </c>
      <c r="B277" s="1" t="s">
        <v>2361</v>
      </c>
      <c r="C277" s="1" t="s">
        <v>2362</v>
      </c>
      <c r="D277" s="1" t="n">
        <v>8</v>
      </c>
      <c r="E277" s="1" t="s">
        <v>1549</v>
      </c>
      <c r="F277" s="1" t="str">
        <f aca="false">IFERROR(VLOOKUP(C277, threat_intelligence A:B, 2, 0), "Not Exploited")</f>
        <v>Not Exploited</v>
      </c>
      <c r="G277" s="1"/>
    </row>
    <row r="278" customFormat="false" ht="13" hidden="false" customHeight="false" outlineLevel="0" collapsed="false">
      <c r="A278" s="1" t="s">
        <v>2363</v>
      </c>
      <c r="B278" s="1" t="s">
        <v>2364</v>
      </c>
      <c r="C278" s="1" t="s">
        <v>2365</v>
      </c>
      <c r="D278" s="1" t="n">
        <v>8</v>
      </c>
      <c r="E278" s="1" t="s">
        <v>1538</v>
      </c>
      <c r="F278" s="1" t="str">
        <f aca="false">IFERROR(VLOOKUP(C278, threat_intelligence A:B, 2, 0), "Not Exploited")</f>
        <v>Not Exploited</v>
      </c>
      <c r="G278" s="1"/>
    </row>
    <row r="279" customFormat="false" ht="13" hidden="false" customHeight="false" outlineLevel="0" collapsed="false">
      <c r="A279" s="1" t="s">
        <v>2366</v>
      </c>
      <c r="B279" s="1" t="s">
        <v>2367</v>
      </c>
      <c r="C279" s="1" t="s">
        <v>2368</v>
      </c>
      <c r="D279" s="1" t="n">
        <v>2</v>
      </c>
      <c r="E279" s="1" t="s">
        <v>1538</v>
      </c>
      <c r="F279" s="1" t="str">
        <f aca="false">IFERROR(VLOOKUP(C279, threat_intelligence A:B, 2, 0), "Not Exploited")</f>
        <v>Not Exploited</v>
      </c>
      <c r="G279" s="1"/>
    </row>
    <row r="280" customFormat="false" ht="13" hidden="false" customHeight="false" outlineLevel="0" collapsed="false">
      <c r="A280" s="1" t="s">
        <v>2369</v>
      </c>
      <c r="B280" s="1" t="s">
        <v>2370</v>
      </c>
      <c r="C280" s="1" t="s">
        <v>2371</v>
      </c>
      <c r="D280" s="1" t="n">
        <v>7</v>
      </c>
      <c r="E280" s="1" t="s">
        <v>1530</v>
      </c>
      <c r="F280" s="1" t="str">
        <f aca="false">IFERROR(VLOOKUP(C280, threat_intelligence A:B, 2, 0), "Not Exploited")</f>
        <v>Not Exploited</v>
      </c>
      <c r="G280" s="1"/>
    </row>
    <row r="281" customFormat="false" ht="13" hidden="false" customHeight="false" outlineLevel="0" collapsed="false">
      <c r="A281" s="1" t="s">
        <v>2372</v>
      </c>
      <c r="B281" s="1" t="s">
        <v>2373</v>
      </c>
      <c r="C281" s="1" t="s">
        <v>2374</v>
      </c>
      <c r="D281" s="1" t="n">
        <v>6</v>
      </c>
      <c r="E281" s="1" t="s">
        <v>1549</v>
      </c>
      <c r="F281" s="1" t="str">
        <f aca="false">IFERROR(VLOOKUP(C281, threat_intelligence A:B, 2, 0), "Not Exploited")</f>
        <v>Not Exploited</v>
      </c>
      <c r="G281" s="1"/>
    </row>
    <row r="282" customFormat="false" ht="13" hidden="false" customHeight="false" outlineLevel="0" collapsed="false">
      <c r="A282" s="1" t="s">
        <v>2375</v>
      </c>
      <c r="B282" s="1" t="s">
        <v>2376</v>
      </c>
      <c r="C282" s="1" t="s">
        <v>2377</v>
      </c>
      <c r="D282" s="1" t="n">
        <v>6</v>
      </c>
      <c r="E282" s="1" t="s">
        <v>1548</v>
      </c>
      <c r="F282" s="1" t="str">
        <f aca="false">IFERROR(VLOOKUP(C282, threat_intelligence A:B, 2, 0), "Not Exploited")</f>
        <v>Not Exploited</v>
      </c>
      <c r="G282" s="1"/>
    </row>
    <row r="283" customFormat="false" ht="13" hidden="false" customHeight="false" outlineLevel="0" collapsed="false">
      <c r="A283" s="1" t="s">
        <v>2378</v>
      </c>
      <c r="B283" s="1" t="s">
        <v>2379</v>
      </c>
      <c r="C283" s="1" t="s">
        <v>2380</v>
      </c>
      <c r="D283" s="1" t="n">
        <v>6</v>
      </c>
      <c r="E283" s="1" t="s">
        <v>1530</v>
      </c>
      <c r="F283" s="1" t="str">
        <f aca="false">IFERROR(VLOOKUP(C283, threat_intelligence A:B, 2, 0), "Not Exploited")</f>
        <v>Not Exploited</v>
      </c>
      <c r="G283" s="1"/>
    </row>
    <row r="284" customFormat="false" ht="13" hidden="false" customHeight="false" outlineLevel="0" collapsed="false">
      <c r="A284" s="1" t="s">
        <v>2381</v>
      </c>
      <c r="B284" s="1" t="s">
        <v>2382</v>
      </c>
      <c r="C284" s="1" t="s">
        <v>2383</v>
      </c>
      <c r="D284" s="1" t="n">
        <v>3</v>
      </c>
      <c r="E284" s="1" t="s">
        <v>1538</v>
      </c>
      <c r="F284" s="1" t="str">
        <f aca="false">IFERROR(VLOOKUP(C284, threat_intelligence A:B, 2, 0), "Not Exploited")</f>
        <v>Not Exploited</v>
      </c>
      <c r="G284" s="1"/>
    </row>
    <row r="285" customFormat="false" ht="13" hidden="false" customHeight="false" outlineLevel="0" collapsed="false">
      <c r="A285" s="1" t="s">
        <v>2384</v>
      </c>
      <c r="B285" s="1" t="s">
        <v>2385</v>
      </c>
      <c r="C285" s="1" t="s">
        <v>2386</v>
      </c>
      <c r="D285" s="1" t="n">
        <v>3</v>
      </c>
      <c r="E285" s="1" t="s">
        <v>1549</v>
      </c>
      <c r="F285" s="1" t="str">
        <f aca="false">IFERROR(VLOOKUP(C285, threat_intelligence A:B, 2, 0), "Not Exploited")</f>
        <v>Not Exploited</v>
      </c>
      <c r="G285" s="1"/>
    </row>
    <row r="286" customFormat="false" ht="13" hidden="false" customHeight="false" outlineLevel="0" collapsed="false">
      <c r="A286" s="1" t="s">
        <v>2387</v>
      </c>
      <c r="B286" s="1" t="s">
        <v>2388</v>
      </c>
      <c r="C286" s="1" t="s">
        <v>2389</v>
      </c>
      <c r="D286" s="1" t="n">
        <v>3</v>
      </c>
      <c r="E286" s="1" t="s">
        <v>1538</v>
      </c>
      <c r="F286" s="1" t="str">
        <f aca="false">IFERROR(VLOOKUP(C286, threat_intelligence A:B, 2, 0), "Not Exploited")</f>
        <v>Not Exploited</v>
      </c>
      <c r="G286" s="1"/>
    </row>
    <row r="287" customFormat="false" ht="13" hidden="false" customHeight="false" outlineLevel="0" collapsed="false">
      <c r="A287" s="1" t="s">
        <v>2390</v>
      </c>
      <c r="B287" s="1" t="s">
        <v>2391</v>
      </c>
      <c r="C287" s="1" t="s">
        <v>2392</v>
      </c>
      <c r="D287" s="1" t="n">
        <v>2</v>
      </c>
      <c r="E287" s="1" t="s">
        <v>1538</v>
      </c>
      <c r="F287" s="1" t="str">
        <f aca="false">IFERROR(VLOOKUP(C287, threat_intelligence A:B, 2, 0), "Not Exploited")</f>
        <v>Not Exploited</v>
      </c>
      <c r="G287" s="1"/>
    </row>
    <row r="288" customFormat="false" ht="13" hidden="false" customHeight="false" outlineLevel="0" collapsed="false">
      <c r="A288" s="1" t="s">
        <v>2393</v>
      </c>
      <c r="B288" s="1" t="s">
        <v>2394</v>
      </c>
      <c r="C288" s="1" t="s">
        <v>2395</v>
      </c>
      <c r="D288" s="1" t="n">
        <v>1</v>
      </c>
      <c r="E288" s="1" t="s">
        <v>1549</v>
      </c>
      <c r="F288" s="1" t="str">
        <f aca="false">IFERROR(VLOOKUP(C288, threat_intelligence A:B, 2, 0), "Not Exploited")</f>
        <v>Not Exploited</v>
      </c>
      <c r="G288" s="1"/>
    </row>
    <row r="289" customFormat="false" ht="13" hidden="false" customHeight="false" outlineLevel="0" collapsed="false">
      <c r="A289" s="1" t="s">
        <v>2396</v>
      </c>
      <c r="B289" s="1" t="s">
        <v>2397</v>
      </c>
      <c r="C289" s="1" t="s">
        <v>2398</v>
      </c>
      <c r="D289" s="1" t="n">
        <v>8</v>
      </c>
      <c r="E289" s="1" t="s">
        <v>1549</v>
      </c>
      <c r="F289" s="1" t="str">
        <f aca="false">IFERROR(VLOOKUP(C289, threat_intelligence A:B, 2, 0), "Not Exploited")</f>
        <v>Not Exploited</v>
      </c>
      <c r="G289" s="1"/>
    </row>
    <row r="290" customFormat="false" ht="13" hidden="false" customHeight="false" outlineLevel="0" collapsed="false">
      <c r="A290" s="1" t="s">
        <v>2399</v>
      </c>
      <c r="B290" s="1" t="s">
        <v>2400</v>
      </c>
      <c r="C290" s="1" t="s">
        <v>2401</v>
      </c>
      <c r="D290" s="1" t="n">
        <v>4</v>
      </c>
      <c r="E290" s="1" t="s">
        <v>1526</v>
      </c>
      <c r="F290" s="1" t="str">
        <f aca="false">IFERROR(VLOOKUP(C290, threat_intelligence A:B, 2, 0), "Not Exploited")</f>
        <v>Not Exploited</v>
      </c>
      <c r="G290" s="1"/>
    </row>
    <row r="291" customFormat="false" ht="13" hidden="false" customHeight="false" outlineLevel="0" collapsed="false">
      <c r="A291" s="1" t="s">
        <v>2402</v>
      </c>
      <c r="B291" s="1" t="s">
        <v>2403</v>
      </c>
      <c r="C291" s="1" t="s">
        <v>2404</v>
      </c>
      <c r="D291" s="1" t="n">
        <v>5</v>
      </c>
      <c r="E291" s="1" t="s">
        <v>1549</v>
      </c>
      <c r="F291" s="1" t="str">
        <f aca="false">IFERROR(VLOOKUP(C291, threat_intelligence A:B, 2, 0), "Not Exploited")</f>
        <v>Not Exploited</v>
      </c>
      <c r="G291" s="1"/>
    </row>
    <row r="292" customFormat="false" ht="13" hidden="false" customHeight="false" outlineLevel="0" collapsed="false">
      <c r="A292" s="1" t="s">
        <v>2405</v>
      </c>
      <c r="B292" s="1" t="s">
        <v>2406</v>
      </c>
      <c r="C292" s="1" t="s">
        <v>2407</v>
      </c>
      <c r="D292" s="1" t="n">
        <v>7</v>
      </c>
      <c r="E292" s="1" t="s">
        <v>1549</v>
      </c>
      <c r="F292" s="1" t="str">
        <f aca="false">IFERROR(VLOOKUP(C292, threat_intelligence A:B, 2, 0), "Not Exploited")</f>
        <v>Not Exploited</v>
      </c>
      <c r="G292" s="1"/>
    </row>
    <row r="293" customFormat="false" ht="13" hidden="false" customHeight="false" outlineLevel="0" collapsed="false">
      <c r="A293" s="1" t="s">
        <v>2408</v>
      </c>
      <c r="B293" s="1" t="s">
        <v>2409</v>
      </c>
      <c r="C293" s="1" t="s">
        <v>2410</v>
      </c>
      <c r="D293" s="1" t="n">
        <v>1</v>
      </c>
      <c r="E293" s="1" t="s">
        <v>1526</v>
      </c>
      <c r="F293" s="1" t="str">
        <f aca="false">IFERROR(VLOOKUP(C293, threat_intelligence A:B, 2, 0), "Not Exploited")</f>
        <v>Not Exploited</v>
      </c>
      <c r="G293" s="1"/>
    </row>
    <row r="294" customFormat="false" ht="13" hidden="false" customHeight="false" outlineLevel="0" collapsed="false">
      <c r="A294" s="1" t="s">
        <v>2411</v>
      </c>
      <c r="B294" s="1" t="s">
        <v>2412</v>
      </c>
      <c r="C294" s="1" t="s">
        <v>2413</v>
      </c>
      <c r="D294" s="1" t="n">
        <v>7</v>
      </c>
      <c r="E294" s="1" t="s">
        <v>1530</v>
      </c>
      <c r="F294" s="1" t="str">
        <f aca="false">IFERROR(VLOOKUP(C294, threat_intelligence A:B, 2, 0), "Not Exploited")</f>
        <v>Not Exploited</v>
      </c>
      <c r="G294" s="1"/>
    </row>
    <row r="295" customFormat="false" ht="13" hidden="false" customHeight="false" outlineLevel="0" collapsed="false">
      <c r="A295" s="1" t="s">
        <v>2414</v>
      </c>
      <c r="B295" s="1" t="s">
        <v>2415</v>
      </c>
      <c r="C295" s="1" t="s">
        <v>2416</v>
      </c>
      <c r="D295" s="1" t="n">
        <v>5</v>
      </c>
      <c r="E295" s="1" t="s">
        <v>1538</v>
      </c>
      <c r="F295" s="1" t="str">
        <f aca="false">IFERROR(VLOOKUP(C295, threat_intelligence A:B, 2, 0), "Not Exploited")</f>
        <v>Not Exploited</v>
      </c>
      <c r="G295" s="1"/>
    </row>
    <row r="296" customFormat="false" ht="13" hidden="false" customHeight="false" outlineLevel="0" collapsed="false">
      <c r="A296" s="1" t="s">
        <v>2417</v>
      </c>
      <c r="B296" s="1" t="s">
        <v>2418</v>
      </c>
      <c r="C296" s="1" t="s">
        <v>2419</v>
      </c>
      <c r="D296" s="1" t="n">
        <v>5</v>
      </c>
      <c r="E296" s="1" t="s">
        <v>1549</v>
      </c>
      <c r="F296" s="1" t="str">
        <f aca="false">IFERROR(VLOOKUP(C296, threat_intelligence A:B, 2, 0), "Not Exploited")</f>
        <v>Not Exploited</v>
      </c>
      <c r="G296" s="1"/>
    </row>
    <row r="297" customFormat="false" ht="13" hidden="false" customHeight="false" outlineLevel="0" collapsed="false">
      <c r="A297" s="1" t="s">
        <v>2420</v>
      </c>
      <c r="B297" s="1" t="s">
        <v>2421</v>
      </c>
      <c r="C297" s="1" t="s">
        <v>2422</v>
      </c>
      <c r="D297" s="1" t="n">
        <v>2</v>
      </c>
      <c r="E297" s="1" t="s">
        <v>1538</v>
      </c>
      <c r="F297" s="1" t="str">
        <f aca="false">IFERROR(VLOOKUP(C297, threat_intelligence A:B, 2, 0), "Not Exploited")</f>
        <v>Not Exploited</v>
      </c>
      <c r="G297" s="1"/>
    </row>
    <row r="298" customFormat="false" ht="13" hidden="false" customHeight="false" outlineLevel="0" collapsed="false">
      <c r="A298" s="1" t="s">
        <v>2423</v>
      </c>
      <c r="B298" s="1" t="s">
        <v>2424</v>
      </c>
      <c r="C298" s="1" t="s">
        <v>2425</v>
      </c>
      <c r="D298" s="1" t="n">
        <v>6</v>
      </c>
      <c r="E298" s="1" t="s">
        <v>1530</v>
      </c>
      <c r="F298" s="1" t="str">
        <f aca="false">IFERROR(VLOOKUP(C298, threat_intelligence A:B, 2, 0), "Not Exploited")</f>
        <v>Not Exploited</v>
      </c>
      <c r="G298" s="1"/>
    </row>
    <row r="299" customFormat="false" ht="13" hidden="false" customHeight="false" outlineLevel="0" collapsed="false">
      <c r="A299" s="1" t="s">
        <v>2426</v>
      </c>
      <c r="B299" s="1" t="s">
        <v>2427</v>
      </c>
      <c r="C299" s="1" t="s">
        <v>2428</v>
      </c>
      <c r="D299" s="1" t="n">
        <v>8</v>
      </c>
      <c r="E299" s="1" t="s">
        <v>1530</v>
      </c>
      <c r="F299" s="1" t="str">
        <f aca="false">IFERROR(VLOOKUP(C299, threat_intelligence A:B, 2, 0), "Not Exploited")</f>
        <v>Not Exploited</v>
      </c>
      <c r="G299" s="1"/>
    </row>
    <row r="300" customFormat="false" ht="13" hidden="false" customHeight="false" outlineLevel="0" collapsed="false">
      <c r="A300" s="1" t="s">
        <v>2429</v>
      </c>
      <c r="B300" s="1" t="s">
        <v>2430</v>
      </c>
      <c r="C300" s="1" t="s">
        <v>2431</v>
      </c>
      <c r="D300" s="1" t="n">
        <v>3</v>
      </c>
      <c r="E300" s="1" t="s">
        <v>1548</v>
      </c>
      <c r="F300" s="1" t="str">
        <f aca="false">IFERROR(VLOOKUP(C300, threat_intelligence A:B, 2, 0), "Not Exploited")</f>
        <v>Not Exploited</v>
      </c>
      <c r="G300" s="1"/>
    </row>
    <row r="301" customFormat="false" ht="13" hidden="false" customHeight="false" outlineLevel="0" collapsed="false">
      <c r="A301" s="1" t="s">
        <v>2432</v>
      </c>
      <c r="B301" s="1" t="s">
        <v>2433</v>
      </c>
      <c r="C301" s="1" t="s">
        <v>2434</v>
      </c>
      <c r="D301" s="1" t="n">
        <v>4</v>
      </c>
      <c r="E301" s="1" t="s">
        <v>1549</v>
      </c>
      <c r="F301" s="1" t="str">
        <f aca="false">IFERROR(VLOOKUP(C301, threat_intelligence A:B, 2, 0), "Not Exploited")</f>
        <v>Not Exploited</v>
      </c>
      <c r="G301" s="1"/>
    </row>
  </sheetData>
  <autoFilter ref="A1:E301"/>
  <mergeCells count="1">
    <mergeCell ref="H12:I12"/>
  </mergeCells>
  <conditionalFormatting sqref="D1:D1048576">
    <cfRule type="cellIs" priority="2" operator="greaterThan" aboveAverage="0" equalAverage="0" bottom="0" percent="0" rank="0" text="" dxfId="3">
      <formula>7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xr2:uid="{87F4AE3C-95A0-440E-8F94-D7BFE418F451}">
          <x14:colorSeries rgb="FF2A6099"/>
          <x14:colorNegative rgb="FFFF0000"/>
          <x14:colorAxis rgb="FFFF0000"/>
          <x14:colorMarkers rgb="FFFF0000"/>
          <x14:colorFirst rgb="FFFF0000"/>
          <x14:colorLast rgb="FFFF0000"/>
          <x14:colorHigh rgb="FFFF0000"/>
          <x14:colorLow rgb="FFFF0000"/>
          <x14:sparklines>
            <x14:sparkline>
              <xm:f>vulnerability_scan!H3:K3</xm:f>
              <xm:sqref>L3</xm:sqref>
            </x14:sparkline>
            <x14:sparkline>
              <xm:f>vulnerability_scan!H4:K4</xm:f>
              <xm:sqref>L4</xm:sqref>
            </x14:sparkline>
            <x14:sparkline>
              <xm:f>vulnerability_scan!H5:K5</xm:f>
              <xm:sqref>L5</xm:sqref>
            </x14:sparkline>
            <x14:sparkline>
              <xm:f>vulnerability_scan!H6:K6</xm:f>
              <xm:sqref>L6</xm:sqref>
            </x14:sparkline>
            <x14:sparkline>
              <xm:f>vulnerability_scan!H7:K7</xm:f>
              <xm:sqref>L7</xm:sqref>
            </x14:sparkline>
            <x14:sparkline>
              <xm:f>vulnerability_scan!H8:K8</xm:f>
              <xm:sqref>L8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1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66.14"/>
    <col collapsed="false" customWidth="true" hidden="false" outlineLevel="0" max="2" min="2" style="1" width="25.97"/>
  </cols>
  <sheetData>
    <row r="1" customFormat="false" ht="12.8" hidden="false" customHeight="false" outlineLevel="0" collapsed="false">
      <c r="A1" s="2" t="s">
        <v>2435</v>
      </c>
      <c r="B1" s="2" t="s">
        <v>2436</v>
      </c>
    </row>
    <row r="2" customFormat="false" ht="12.8" hidden="false" customHeight="false" outlineLevel="0" collapsed="false">
      <c r="A2" s="1" t="s">
        <v>2437</v>
      </c>
      <c r="B2" s="1" t="s">
        <v>2438</v>
      </c>
      <c r="C2" s="1"/>
    </row>
    <row r="3" customFormat="false" ht="12.8" hidden="false" customHeight="false" outlineLevel="0" collapsed="false">
      <c r="A3" s="1" t="s">
        <v>2439</v>
      </c>
      <c r="B3" s="1" t="s">
        <v>2440</v>
      </c>
      <c r="C3" s="1"/>
    </row>
    <row r="4" customFormat="false" ht="12.8" hidden="false" customHeight="false" outlineLevel="0" collapsed="false">
      <c r="A4" s="1" t="s">
        <v>2441</v>
      </c>
      <c r="B4" s="1" t="s">
        <v>2442</v>
      </c>
      <c r="C4" s="1"/>
    </row>
    <row r="5" customFormat="false" ht="12.8" hidden="false" customHeight="false" outlineLevel="0" collapsed="false">
      <c r="A5" s="1" t="s">
        <v>2443</v>
      </c>
      <c r="B5" s="1" t="s">
        <v>2444</v>
      </c>
      <c r="C5" s="1"/>
    </row>
    <row r="6" customFormat="false" ht="12.8" hidden="false" customHeight="false" outlineLevel="0" collapsed="false">
      <c r="A6" s="1" t="s">
        <v>2445</v>
      </c>
      <c r="B6" s="1" t="s">
        <v>2446</v>
      </c>
      <c r="C6" s="1"/>
    </row>
    <row r="7" customFormat="false" ht="12.8" hidden="false" customHeight="false" outlineLevel="0" collapsed="false">
      <c r="A7" s="1" t="s">
        <v>2447</v>
      </c>
      <c r="B7" s="1" t="s">
        <v>2438</v>
      </c>
      <c r="C7" s="1"/>
    </row>
    <row r="8" customFormat="false" ht="12.8" hidden="false" customHeight="false" outlineLevel="0" collapsed="false">
      <c r="A8" s="1" t="s">
        <v>2448</v>
      </c>
      <c r="B8" s="1" t="s">
        <v>2440</v>
      </c>
      <c r="C8" s="1"/>
    </row>
    <row r="9" customFormat="false" ht="12.8" hidden="false" customHeight="false" outlineLevel="0" collapsed="false">
      <c r="A9" s="1" t="s">
        <v>2449</v>
      </c>
      <c r="B9" s="1" t="s">
        <v>2438</v>
      </c>
      <c r="C9" s="1"/>
    </row>
    <row r="10" customFormat="false" ht="12.8" hidden="false" customHeight="false" outlineLevel="0" collapsed="false">
      <c r="A10" s="1" t="s">
        <v>2450</v>
      </c>
      <c r="B10" s="1" t="s">
        <v>2451</v>
      </c>
      <c r="C10" s="1"/>
    </row>
    <row r="11" customFormat="false" ht="12.8" hidden="false" customHeight="false" outlineLevel="0" collapsed="false">
      <c r="A11" s="1" t="s">
        <v>2452</v>
      </c>
      <c r="B11" s="1" t="s">
        <v>2438</v>
      </c>
      <c r="C11" s="1"/>
    </row>
    <row r="12" customFormat="false" ht="12.8" hidden="false" customHeight="false" outlineLevel="0" collapsed="false">
      <c r="A12" s="1" t="s">
        <v>2453</v>
      </c>
      <c r="B12" s="1" t="s">
        <v>2442</v>
      </c>
      <c r="C12" s="1"/>
    </row>
    <row r="13" customFormat="false" ht="12.8" hidden="false" customHeight="false" outlineLevel="0" collapsed="false">
      <c r="A13" s="1" t="s">
        <v>2454</v>
      </c>
      <c r="B13" s="1" t="s">
        <v>2438</v>
      </c>
      <c r="C13" s="1"/>
    </row>
    <row r="14" customFormat="false" ht="12.8" hidden="false" customHeight="false" outlineLevel="0" collapsed="false">
      <c r="A14" s="1" t="s">
        <v>2455</v>
      </c>
      <c r="B14" s="1" t="s">
        <v>2442</v>
      </c>
      <c r="C14" s="1"/>
    </row>
    <row r="15" customFormat="false" ht="12.8" hidden="false" customHeight="false" outlineLevel="0" collapsed="false">
      <c r="A15" s="1" t="s">
        <v>2456</v>
      </c>
      <c r="B15" s="1" t="s">
        <v>2440</v>
      </c>
      <c r="C15" s="1"/>
    </row>
    <row r="16" customFormat="false" ht="12.8" hidden="false" customHeight="false" outlineLevel="0" collapsed="false">
      <c r="A16" s="1" t="s">
        <v>2457</v>
      </c>
      <c r="B16" s="1" t="s">
        <v>2440</v>
      </c>
      <c r="C16" s="1"/>
    </row>
    <row r="17" customFormat="false" ht="12.8" hidden="false" customHeight="false" outlineLevel="0" collapsed="false">
      <c r="A17" s="1" t="s">
        <v>2458</v>
      </c>
      <c r="B17" s="1" t="s">
        <v>2446</v>
      </c>
      <c r="C17" s="1"/>
    </row>
    <row r="18" customFormat="false" ht="12.8" hidden="false" customHeight="false" outlineLevel="0" collapsed="false">
      <c r="A18" s="1" t="s">
        <v>2459</v>
      </c>
      <c r="B18" s="1" t="s">
        <v>2438</v>
      </c>
      <c r="C18" s="1"/>
    </row>
    <row r="19" customFormat="false" ht="12.8" hidden="false" customHeight="false" outlineLevel="0" collapsed="false">
      <c r="A19" s="1" t="s">
        <v>2460</v>
      </c>
      <c r="B19" s="1" t="s">
        <v>2438</v>
      </c>
      <c r="C19" s="1"/>
    </row>
    <row r="20" customFormat="false" ht="12.8" hidden="false" customHeight="false" outlineLevel="0" collapsed="false">
      <c r="A20" s="1" t="s">
        <v>2461</v>
      </c>
      <c r="B20" s="1" t="s">
        <v>2444</v>
      </c>
      <c r="C20" s="1"/>
    </row>
    <row r="21" customFormat="false" ht="12.8" hidden="false" customHeight="false" outlineLevel="0" collapsed="false">
      <c r="A21" s="1" t="s">
        <v>2462</v>
      </c>
      <c r="B21" s="1" t="s">
        <v>2444</v>
      </c>
      <c r="C21" s="1"/>
    </row>
    <row r="22" customFormat="false" ht="12.8" hidden="false" customHeight="false" outlineLevel="0" collapsed="false">
      <c r="A22" s="1" t="s">
        <v>2463</v>
      </c>
      <c r="B22" s="1" t="s">
        <v>2446</v>
      </c>
      <c r="C22" s="1"/>
    </row>
    <row r="23" customFormat="false" ht="12.8" hidden="false" customHeight="false" outlineLevel="0" collapsed="false">
      <c r="A23" s="1" t="s">
        <v>2464</v>
      </c>
      <c r="B23" s="1" t="s">
        <v>2446</v>
      </c>
      <c r="C23" s="1"/>
    </row>
    <row r="24" customFormat="false" ht="12.8" hidden="false" customHeight="false" outlineLevel="0" collapsed="false">
      <c r="A24" s="1" t="s">
        <v>2465</v>
      </c>
      <c r="B24" s="1" t="s">
        <v>2438</v>
      </c>
      <c r="C24" s="1"/>
    </row>
    <row r="25" customFormat="false" ht="12.8" hidden="false" customHeight="false" outlineLevel="0" collapsed="false">
      <c r="A25" s="1" t="s">
        <v>2466</v>
      </c>
      <c r="B25" s="1" t="s">
        <v>2446</v>
      </c>
      <c r="C25" s="1"/>
    </row>
    <row r="26" customFormat="false" ht="12.8" hidden="false" customHeight="false" outlineLevel="0" collapsed="false">
      <c r="A26" s="1" t="s">
        <v>2467</v>
      </c>
      <c r="B26" s="1" t="s">
        <v>2446</v>
      </c>
      <c r="C26" s="1"/>
    </row>
    <row r="27" customFormat="false" ht="12.8" hidden="false" customHeight="false" outlineLevel="0" collapsed="false">
      <c r="A27" s="1" t="s">
        <v>2468</v>
      </c>
      <c r="B27" s="1" t="s">
        <v>2438</v>
      </c>
      <c r="C27" s="1"/>
    </row>
    <row r="28" customFormat="false" ht="12.8" hidden="false" customHeight="false" outlineLevel="0" collapsed="false">
      <c r="A28" s="1" t="s">
        <v>2469</v>
      </c>
      <c r="B28" s="1" t="s">
        <v>2444</v>
      </c>
      <c r="C28" s="1"/>
    </row>
    <row r="29" customFormat="false" ht="12.8" hidden="false" customHeight="false" outlineLevel="0" collapsed="false">
      <c r="A29" s="1" t="s">
        <v>2470</v>
      </c>
      <c r="B29" s="1" t="s">
        <v>2442</v>
      </c>
      <c r="C29" s="1"/>
    </row>
    <row r="30" customFormat="false" ht="12.8" hidden="false" customHeight="false" outlineLevel="0" collapsed="false">
      <c r="A30" s="1" t="s">
        <v>2471</v>
      </c>
      <c r="B30" s="1" t="s">
        <v>2451</v>
      </c>
      <c r="C30" s="1"/>
    </row>
    <row r="31" customFormat="false" ht="12.8" hidden="false" customHeight="false" outlineLevel="0" collapsed="false">
      <c r="A31" s="1" t="s">
        <v>2472</v>
      </c>
      <c r="B31" s="1" t="s">
        <v>2438</v>
      </c>
      <c r="C31" s="1"/>
    </row>
    <row r="32" customFormat="false" ht="12.8" hidden="false" customHeight="false" outlineLevel="0" collapsed="false">
      <c r="A32" s="1" t="s">
        <v>2473</v>
      </c>
      <c r="B32" s="1" t="s">
        <v>2451</v>
      </c>
      <c r="C32" s="1"/>
    </row>
    <row r="33" customFormat="false" ht="12.8" hidden="false" customHeight="false" outlineLevel="0" collapsed="false">
      <c r="A33" s="1" t="s">
        <v>2474</v>
      </c>
      <c r="B33" s="1" t="s">
        <v>2440</v>
      </c>
      <c r="C33" s="1"/>
    </row>
    <row r="34" customFormat="false" ht="12.8" hidden="false" customHeight="false" outlineLevel="0" collapsed="false">
      <c r="A34" s="1" t="s">
        <v>2475</v>
      </c>
      <c r="B34" s="1" t="s">
        <v>2444</v>
      </c>
      <c r="C34" s="1"/>
    </row>
    <row r="35" customFormat="false" ht="12.8" hidden="false" customHeight="false" outlineLevel="0" collapsed="false">
      <c r="A35" s="1" t="s">
        <v>2476</v>
      </c>
      <c r="B35" s="1" t="s">
        <v>2446</v>
      </c>
      <c r="C35" s="1"/>
    </row>
    <row r="36" customFormat="false" ht="12.8" hidden="false" customHeight="false" outlineLevel="0" collapsed="false">
      <c r="A36" s="1" t="s">
        <v>2477</v>
      </c>
      <c r="B36" s="1" t="s">
        <v>2442</v>
      </c>
      <c r="C36" s="1"/>
    </row>
    <row r="37" customFormat="false" ht="12.8" hidden="false" customHeight="false" outlineLevel="0" collapsed="false">
      <c r="A37" s="1" t="s">
        <v>2478</v>
      </c>
      <c r="B37" s="1" t="s">
        <v>2444</v>
      </c>
      <c r="C37" s="1"/>
    </row>
    <row r="38" customFormat="false" ht="12.8" hidden="false" customHeight="false" outlineLevel="0" collapsed="false">
      <c r="A38" s="1" t="s">
        <v>2479</v>
      </c>
      <c r="B38" s="1" t="s">
        <v>2444</v>
      </c>
      <c r="C38" s="1"/>
    </row>
    <row r="39" customFormat="false" ht="12.8" hidden="false" customHeight="false" outlineLevel="0" collapsed="false">
      <c r="A39" s="1" t="s">
        <v>2480</v>
      </c>
      <c r="B39" s="1" t="s">
        <v>2451</v>
      </c>
      <c r="C39" s="1"/>
    </row>
    <row r="40" customFormat="false" ht="12.8" hidden="false" customHeight="false" outlineLevel="0" collapsed="false">
      <c r="A40" s="1" t="s">
        <v>2481</v>
      </c>
      <c r="B40" s="1" t="s">
        <v>2442</v>
      </c>
      <c r="C40" s="1"/>
    </row>
    <row r="41" customFormat="false" ht="12.8" hidden="false" customHeight="false" outlineLevel="0" collapsed="false">
      <c r="A41" s="1" t="s">
        <v>2482</v>
      </c>
      <c r="B41" s="1" t="s">
        <v>2444</v>
      </c>
      <c r="C41" s="1"/>
    </row>
    <row r="42" customFormat="false" ht="12.8" hidden="false" customHeight="false" outlineLevel="0" collapsed="false">
      <c r="A42" s="1" t="s">
        <v>2483</v>
      </c>
      <c r="B42" s="1" t="s">
        <v>2438</v>
      </c>
      <c r="C42" s="1"/>
    </row>
    <row r="43" customFormat="false" ht="12.8" hidden="false" customHeight="false" outlineLevel="0" collapsed="false">
      <c r="A43" s="1" t="s">
        <v>2484</v>
      </c>
      <c r="B43" s="1" t="s">
        <v>2442</v>
      </c>
      <c r="C43" s="1"/>
    </row>
    <row r="44" customFormat="false" ht="12.8" hidden="false" customHeight="false" outlineLevel="0" collapsed="false">
      <c r="A44" s="1" t="s">
        <v>2485</v>
      </c>
      <c r="B44" s="1" t="s">
        <v>2446</v>
      </c>
      <c r="C44" s="1"/>
    </row>
    <row r="45" customFormat="false" ht="12.8" hidden="false" customHeight="false" outlineLevel="0" collapsed="false">
      <c r="A45" s="1" t="s">
        <v>2486</v>
      </c>
      <c r="B45" s="1" t="s">
        <v>2442</v>
      </c>
      <c r="C45" s="1"/>
    </row>
    <row r="46" customFormat="false" ht="12.8" hidden="false" customHeight="false" outlineLevel="0" collapsed="false">
      <c r="A46" s="1" t="s">
        <v>2487</v>
      </c>
      <c r="B46" s="1" t="s">
        <v>2438</v>
      </c>
      <c r="C46" s="1"/>
    </row>
    <row r="47" customFormat="false" ht="12.8" hidden="false" customHeight="false" outlineLevel="0" collapsed="false">
      <c r="A47" s="1" t="s">
        <v>2488</v>
      </c>
      <c r="B47" s="1" t="s">
        <v>2440</v>
      </c>
      <c r="C47" s="1"/>
    </row>
    <row r="48" customFormat="false" ht="12.8" hidden="false" customHeight="false" outlineLevel="0" collapsed="false">
      <c r="A48" s="1" t="s">
        <v>2489</v>
      </c>
      <c r="B48" s="1" t="s">
        <v>2446</v>
      </c>
      <c r="C48" s="1"/>
    </row>
    <row r="49" customFormat="false" ht="12.8" hidden="false" customHeight="false" outlineLevel="0" collapsed="false">
      <c r="A49" s="1" t="s">
        <v>2490</v>
      </c>
      <c r="B49" s="1" t="s">
        <v>2442</v>
      </c>
      <c r="C49" s="1"/>
    </row>
    <row r="50" customFormat="false" ht="12.8" hidden="false" customHeight="false" outlineLevel="0" collapsed="false">
      <c r="A50" s="1" t="s">
        <v>2491</v>
      </c>
      <c r="B50" s="1" t="s">
        <v>2444</v>
      </c>
      <c r="C50" s="1"/>
    </row>
    <row r="51" customFormat="false" ht="12.8" hidden="false" customHeight="false" outlineLevel="0" collapsed="false">
      <c r="A51" s="1" t="s">
        <v>2492</v>
      </c>
      <c r="B51" s="1" t="s">
        <v>2440</v>
      </c>
      <c r="C51" s="1"/>
    </row>
    <row r="52" customFormat="false" ht="12.8" hidden="false" customHeight="false" outlineLevel="0" collapsed="false">
      <c r="A52" s="1" t="s">
        <v>2493</v>
      </c>
      <c r="B52" s="1" t="s">
        <v>2438</v>
      </c>
      <c r="C52" s="1"/>
    </row>
    <row r="53" customFormat="false" ht="12.8" hidden="false" customHeight="false" outlineLevel="0" collapsed="false">
      <c r="A53" s="1" t="s">
        <v>2494</v>
      </c>
      <c r="B53" s="1" t="s">
        <v>2451</v>
      </c>
      <c r="C53" s="1"/>
    </row>
    <row r="54" customFormat="false" ht="12.8" hidden="false" customHeight="false" outlineLevel="0" collapsed="false">
      <c r="A54" s="1" t="s">
        <v>2495</v>
      </c>
      <c r="B54" s="1" t="s">
        <v>2446</v>
      </c>
      <c r="C54" s="1"/>
    </row>
    <row r="55" customFormat="false" ht="12.8" hidden="false" customHeight="false" outlineLevel="0" collapsed="false">
      <c r="A55" s="1" t="s">
        <v>2496</v>
      </c>
      <c r="B55" s="1" t="s">
        <v>2438</v>
      </c>
      <c r="C55" s="1"/>
    </row>
    <row r="56" customFormat="false" ht="12.8" hidden="false" customHeight="false" outlineLevel="0" collapsed="false">
      <c r="A56" s="1" t="s">
        <v>2497</v>
      </c>
      <c r="B56" s="1" t="s">
        <v>2444</v>
      </c>
      <c r="C56" s="1"/>
    </row>
    <row r="57" customFormat="false" ht="12.8" hidden="false" customHeight="false" outlineLevel="0" collapsed="false">
      <c r="A57" s="1" t="s">
        <v>2498</v>
      </c>
      <c r="B57" s="1" t="s">
        <v>2446</v>
      </c>
      <c r="C57" s="1"/>
    </row>
    <row r="58" customFormat="false" ht="12.8" hidden="false" customHeight="false" outlineLevel="0" collapsed="false">
      <c r="A58" s="1" t="s">
        <v>2499</v>
      </c>
      <c r="B58" s="1" t="s">
        <v>2442</v>
      </c>
      <c r="C58" s="1"/>
    </row>
    <row r="59" customFormat="false" ht="12.8" hidden="false" customHeight="false" outlineLevel="0" collapsed="false">
      <c r="A59" s="1" t="s">
        <v>2500</v>
      </c>
      <c r="B59" s="1" t="s">
        <v>2440</v>
      </c>
      <c r="C59" s="1"/>
    </row>
    <row r="60" customFormat="false" ht="12.8" hidden="false" customHeight="false" outlineLevel="0" collapsed="false">
      <c r="A60" s="1" t="s">
        <v>2501</v>
      </c>
      <c r="B60" s="1" t="s">
        <v>2438</v>
      </c>
      <c r="C60" s="1"/>
    </row>
    <row r="61" customFormat="false" ht="12.8" hidden="false" customHeight="false" outlineLevel="0" collapsed="false">
      <c r="A61" s="1" t="s">
        <v>2502</v>
      </c>
      <c r="B61" s="1" t="s">
        <v>2446</v>
      </c>
      <c r="C61" s="1"/>
    </row>
    <row r="62" customFormat="false" ht="12.8" hidden="false" customHeight="false" outlineLevel="0" collapsed="false">
      <c r="A62" s="1" t="s">
        <v>2503</v>
      </c>
      <c r="B62" s="1" t="s">
        <v>2446</v>
      </c>
      <c r="C62" s="1"/>
    </row>
    <row r="63" customFormat="false" ht="12.8" hidden="false" customHeight="false" outlineLevel="0" collapsed="false">
      <c r="A63" s="1" t="s">
        <v>2504</v>
      </c>
      <c r="B63" s="1" t="s">
        <v>2446</v>
      </c>
      <c r="C63" s="1"/>
    </row>
    <row r="64" customFormat="false" ht="12.8" hidden="false" customHeight="false" outlineLevel="0" collapsed="false">
      <c r="A64" s="1" t="s">
        <v>2505</v>
      </c>
      <c r="B64" s="1" t="s">
        <v>2451</v>
      </c>
      <c r="C64" s="1"/>
    </row>
    <row r="65" customFormat="false" ht="12.8" hidden="false" customHeight="false" outlineLevel="0" collapsed="false">
      <c r="A65" s="1" t="s">
        <v>2506</v>
      </c>
      <c r="B65" s="1" t="s">
        <v>2442</v>
      </c>
      <c r="C65" s="1"/>
    </row>
    <row r="66" customFormat="false" ht="12.8" hidden="false" customHeight="false" outlineLevel="0" collapsed="false">
      <c r="A66" s="1" t="s">
        <v>2507</v>
      </c>
      <c r="B66" s="1" t="s">
        <v>2446</v>
      </c>
      <c r="C66" s="1"/>
    </row>
    <row r="67" customFormat="false" ht="12.8" hidden="false" customHeight="false" outlineLevel="0" collapsed="false">
      <c r="A67" s="1" t="s">
        <v>2508</v>
      </c>
      <c r="B67" s="1" t="s">
        <v>2442</v>
      </c>
      <c r="C67" s="1"/>
    </row>
    <row r="68" customFormat="false" ht="12.8" hidden="false" customHeight="false" outlineLevel="0" collapsed="false">
      <c r="A68" s="1" t="s">
        <v>2509</v>
      </c>
      <c r="B68" s="1" t="s">
        <v>2438</v>
      </c>
      <c r="C68" s="1"/>
    </row>
    <row r="69" customFormat="false" ht="12.8" hidden="false" customHeight="false" outlineLevel="0" collapsed="false">
      <c r="A69" s="1" t="s">
        <v>2510</v>
      </c>
      <c r="B69" s="1" t="s">
        <v>2440</v>
      </c>
      <c r="C69" s="1"/>
    </row>
    <row r="70" customFormat="false" ht="12.8" hidden="false" customHeight="false" outlineLevel="0" collapsed="false">
      <c r="A70" s="1" t="s">
        <v>2511</v>
      </c>
      <c r="B70" s="1" t="s">
        <v>2438</v>
      </c>
      <c r="C70" s="1"/>
    </row>
    <row r="71" customFormat="false" ht="12.8" hidden="false" customHeight="false" outlineLevel="0" collapsed="false">
      <c r="A71" s="1" t="s">
        <v>2512</v>
      </c>
      <c r="B71" s="1" t="s">
        <v>2451</v>
      </c>
      <c r="C71" s="1"/>
    </row>
    <row r="72" customFormat="false" ht="12.8" hidden="false" customHeight="false" outlineLevel="0" collapsed="false">
      <c r="A72" s="1" t="s">
        <v>2513</v>
      </c>
      <c r="B72" s="1" t="s">
        <v>2446</v>
      </c>
      <c r="C72" s="1"/>
    </row>
    <row r="73" customFormat="false" ht="12.8" hidden="false" customHeight="false" outlineLevel="0" collapsed="false">
      <c r="A73" s="1" t="s">
        <v>2514</v>
      </c>
      <c r="B73" s="1" t="s">
        <v>2446</v>
      </c>
      <c r="C73" s="1"/>
    </row>
    <row r="74" customFormat="false" ht="12.8" hidden="false" customHeight="false" outlineLevel="0" collapsed="false">
      <c r="A74" s="1" t="s">
        <v>2515</v>
      </c>
      <c r="B74" s="1" t="s">
        <v>2440</v>
      </c>
      <c r="C74" s="1"/>
    </row>
    <row r="75" customFormat="false" ht="12.8" hidden="false" customHeight="false" outlineLevel="0" collapsed="false">
      <c r="A75" s="1" t="s">
        <v>2516</v>
      </c>
      <c r="B75" s="1" t="s">
        <v>2446</v>
      </c>
      <c r="C75" s="1"/>
    </row>
    <row r="76" customFormat="false" ht="12.8" hidden="false" customHeight="false" outlineLevel="0" collapsed="false">
      <c r="A76" s="1" t="s">
        <v>2517</v>
      </c>
      <c r="B76" s="1" t="s">
        <v>2451</v>
      </c>
      <c r="C76" s="1"/>
    </row>
    <row r="77" customFormat="false" ht="12.8" hidden="false" customHeight="false" outlineLevel="0" collapsed="false">
      <c r="A77" s="1" t="s">
        <v>2518</v>
      </c>
      <c r="B77" s="1" t="s">
        <v>2444</v>
      </c>
      <c r="C77" s="1"/>
    </row>
    <row r="78" customFormat="false" ht="12.8" hidden="false" customHeight="false" outlineLevel="0" collapsed="false">
      <c r="A78" s="1" t="s">
        <v>2519</v>
      </c>
      <c r="B78" s="1" t="s">
        <v>2440</v>
      </c>
      <c r="C78" s="1"/>
    </row>
    <row r="79" customFormat="false" ht="12.8" hidden="false" customHeight="false" outlineLevel="0" collapsed="false">
      <c r="A79" s="1" t="s">
        <v>2520</v>
      </c>
      <c r="B79" s="1" t="s">
        <v>2438</v>
      </c>
      <c r="C79" s="1"/>
    </row>
    <row r="80" customFormat="false" ht="12.8" hidden="false" customHeight="false" outlineLevel="0" collapsed="false">
      <c r="A80" s="1" t="s">
        <v>2521</v>
      </c>
      <c r="B80" s="1" t="s">
        <v>2440</v>
      </c>
      <c r="C80" s="1"/>
    </row>
    <row r="81" customFormat="false" ht="12.8" hidden="false" customHeight="false" outlineLevel="0" collapsed="false">
      <c r="A81" s="1" t="s">
        <v>2522</v>
      </c>
      <c r="B81" s="1" t="s">
        <v>2451</v>
      </c>
      <c r="C81" s="1"/>
    </row>
    <row r="82" customFormat="false" ht="12.8" hidden="false" customHeight="false" outlineLevel="0" collapsed="false">
      <c r="A82" s="1" t="s">
        <v>2523</v>
      </c>
      <c r="B82" s="1" t="s">
        <v>2438</v>
      </c>
      <c r="C82" s="1"/>
    </row>
    <row r="83" customFormat="false" ht="12.8" hidden="false" customHeight="false" outlineLevel="0" collapsed="false">
      <c r="A83" s="1" t="s">
        <v>2524</v>
      </c>
      <c r="B83" s="1" t="s">
        <v>2444</v>
      </c>
      <c r="C83" s="1"/>
    </row>
    <row r="84" customFormat="false" ht="12.8" hidden="false" customHeight="false" outlineLevel="0" collapsed="false">
      <c r="A84" s="1" t="s">
        <v>2525</v>
      </c>
      <c r="B84" s="1" t="s">
        <v>2442</v>
      </c>
      <c r="C84" s="1"/>
    </row>
    <row r="85" customFormat="false" ht="12.8" hidden="false" customHeight="false" outlineLevel="0" collapsed="false">
      <c r="A85" s="1" t="s">
        <v>2526</v>
      </c>
      <c r="B85" s="1" t="s">
        <v>2446</v>
      </c>
      <c r="C85" s="1"/>
    </row>
    <row r="86" customFormat="false" ht="12.8" hidden="false" customHeight="false" outlineLevel="0" collapsed="false">
      <c r="A86" s="1" t="s">
        <v>2527</v>
      </c>
      <c r="B86" s="1" t="s">
        <v>2446</v>
      </c>
      <c r="C86" s="1"/>
    </row>
    <row r="87" customFormat="false" ht="12.8" hidden="false" customHeight="false" outlineLevel="0" collapsed="false">
      <c r="A87" s="1" t="s">
        <v>2528</v>
      </c>
      <c r="B87" s="1" t="s">
        <v>2444</v>
      </c>
      <c r="C87" s="1"/>
    </row>
    <row r="88" customFormat="false" ht="12.8" hidden="false" customHeight="false" outlineLevel="0" collapsed="false">
      <c r="A88" s="1" t="s">
        <v>2529</v>
      </c>
      <c r="B88" s="1" t="s">
        <v>2442</v>
      </c>
      <c r="C88" s="1"/>
    </row>
    <row r="89" customFormat="false" ht="12.8" hidden="false" customHeight="false" outlineLevel="0" collapsed="false">
      <c r="A89" s="1" t="s">
        <v>2530</v>
      </c>
      <c r="B89" s="1" t="s">
        <v>2444</v>
      </c>
      <c r="C89" s="1"/>
    </row>
    <row r="90" customFormat="false" ht="12.8" hidden="false" customHeight="false" outlineLevel="0" collapsed="false">
      <c r="A90" s="1" t="s">
        <v>2531</v>
      </c>
      <c r="B90" s="1" t="s">
        <v>2451</v>
      </c>
      <c r="C90" s="1"/>
    </row>
    <row r="91" customFormat="false" ht="12.8" hidden="false" customHeight="false" outlineLevel="0" collapsed="false">
      <c r="A91" s="1" t="s">
        <v>2532</v>
      </c>
      <c r="B91" s="1" t="s">
        <v>2451</v>
      </c>
      <c r="C91" s="1"/>
    </row>
    <row r="92" customFormat="false" ht="12.8" hidden="false" customHeight="false" outlineLevel="0" collapsed="false">
      <c r="A92" s="1" t="s">
        <v>2533</v>
      </c>
      <c r="B92" s="1" t="s">
        <v>2451</v>
      </c>
      <c r="C92" s="1"/>
    </row>
    <row r="93" customFormat="false" ht="12.8" hidden="false" customHeight="false" outlineLevel="0" collapsed="false">
      <c r="A93" s="1" t="s">
        <v>2534</v>
      </c>
      <c r="B93" s="1" t="s">
        <v>2451</v>
      </c>
      <c r="C93" s="1"/>
    </row>
    <row r="94" customFormat="false" ht="12.8" hidden="false" customHeight="false" outlineLevel="0" collapsed="false">
      <c r="A94" s="1" t="s">
        <v>2535</v>
      </c>
      <c r="B94" s="1" t="s">
        <v>2442</v>
      </c>
      <c r="C94" s="1"/>
    </row>
    <row r="95" customFormat="false" ht="12.8" hidden="false" customHeight="false" outlineLevel="0" collapsed="false">
      <c r="A95" s="1" t="s">
        <v>2536</v>
      </c>
      <c r="B95" s="1" t="s">
        <v>2451</v>
      </c>
      <c r="C95" s="1"/>
    </row>
    <row r="96" customFormat="false" ht="12.8" hidden="false" customHeight="false" outlineLevel="0" collapsed="false">
      <c r="A96" s="1" t="s">
        <v>2537</v>
      </c>
      <c r="B96" s="1" t="s">
        <v>2438</v>
      </c>
      <c r="C96" s="1"/>
    </row>
    <row r="97" customFormat="false" ht="12.8" hidden="false" customHeight="false" outlineLevel="0" collapsed="false">
      <c r="A97" s="1" t="s">
        <v>2538</v>
      </c>
      <c r="B97" s="1" t="s">
        <v>2440</v>
      </c>
      <c r="C97" s="1"/>
    </row>
    <row r="98" customFormat="false" ht="12.8" hidden="false" customHeight="false" outlineLevel="0" collapsed="false">
      <c r="A98" s="1" t="s">
        <v>2539</v>
      </c>
      <c r="B98" s="1" t="s">
        <v>2446</v>
      </c>
      <c r="C98" s="1"/>
    </row>
    <row r="99" customFormat="false" ht="12.8" hidden="false" customHeight="false" outlineLevel="0" collapsed="false">
      <c r="A99" s="1" t="s">
        <v>2540</v>
      </c>
      <c r="B99" s="1" t="s">
        <v>2446</v>
      </c>
      <c r="C99" s="1"/>
    </row>
    <row r="100" customFormat="false" ht="12.8" hidden="false" customHeight="false" outlineLevel="0" collapsed="false">
      <c r="A100" s="1" t="s">
        <v>2541</v>
      </c>
      <c r="B100" s="1" t="s">
        <v>2440</v>
      </c>
      <c r="C100" s="1"/>
    </row>
    <row r="101" customFormat="false" ht="12.8" hidden="false" customHeight="false" outlineLevel="0" collapsed="false">
      <c r="A101" s="1" t="s">
        <v>2542</v>
      </c>
      <c r="B101" s="1" t="s">
        <v>2438</v>
      </c>
      <c r="C101" s="1"/>
    </row>
    <row r="102" customFormat="false" ht="12.8" hidden="false" customHeight="false" outlineLevel="0" collapsed="false">
      <c r="A102" s="1" t="s">
        <v>2543</v>
      </c>
      <c r="B102" s="1" t="s">
        <v>2451</v>
      </c>
      <c r="C102" s="1"/>
    </row>
    <row r="103" customFormat="false" ht="12.8" hidden="false" customHeight="false" outlineLevel="0" collapsed="false">
      <c r="A103" s="1" t="s">
        <v>2544</v>
      </c>
      <c r="B103" s="1" t="s">
        <v>2451</v>
      </c>
      <c r="C103" s="1"/>
    </row>
    <row r="104" customFormat="false" ht="12.8" hidden="false" customHeight="false" outlineLevel="0" collapsed="false">
      <c r="A104" s="1" t="s">
        <v>2545</v>
      </c>
      <c r="B104" s="1" t="s">
        <v>2440</v>
      </c>
      <c r="C104" s="1"/>
    </row>
    <row r="105" customFormat="false" ht="12.8" hidden="false" customHeight="false" outlineLevel="0" collapsed="false">
      <c r="A105" s="1" t="s">
        <v>2546</v>
      </c>
      <c r="B105" s="1" t="s">
        <v>2446</v>
      </c>
      <c r="C105" s="1"/>
    </row>
    <row r="106" customFormat="false" ht="12.8" hidden="false" customHeight="false" outlineLevel="0" collapsed="false">
      <c r="A106" s="1" t="s">
        <v>2547</v>
      </c>
      <c r="B106" s="1" t="s">
        <v>2440</v>
      </c>
      <c r="C106" s="1"/>
    </row>
    <row r="107" customFormat="false" ht="12.8" hidden="false" customHeight="false" outlineLevel="0" collapsed="false">
      <c r="A107" s="1" t="s">
        <v>2548</v>
      </c>
      <c r="B107" s="1" t="s">
        <v>2440</v>
      </c>
      <c r="C107" s="1"/>
    </row>
    <row r="108" customFormat="false" ht="12.8" hidden="false" customHeight="false" outlineLevel="0" collapsed="false">
      <c r="A108" s="1" t="s">
        <v>2549</v>
      </c>
      <c r="B108" s="1" t="s">
        <v>2440</v>
      </c>
      <c r="C108" s="1"/>
    </row>
    <row r="109" customFormat="false" ht="12.8" hidden="false" customHeight="false" outlineLevel="0" collapsed="false">
      <c r="A109" s="1" t="s">
        <v>2550</v>
      </c>
      <c r="B109" s="1" t="s">
        <v>2451</v>
      </c>
      <c r="C109" s="1"/>
    </row>
    <row r="110" customFormat="false" ht="12.8" hidden="false" customHeight="false" outlineLevel="0" collapsed="false">
      <c r="A110" s="1" t="s">
        <v>2551</v>
      </c>
      <c r="B110" s="1" t="s">
        <v>2444</v>
      </c>
      <c r="C110" s="1"/>
    </row>
    <row r="111" customFormat="false" ht="12.8" hidden="false" customHeight="false" outlineLevel="0" collapsed="false">
      <c r="A111" s="1" t="s">
        <v>2552</v>
      </c>
      <c r="B111" s="1" t="s">
        <v>2451</v>
      </c>
      <c r="C111" s="1"/>
    </row>
    <row r="112" customFormat="false" ht="12.8" hidden="false" customHeight="false" outlineLevel="0" collapsed="false">
      <c r="A112" s="1" t="s">
        <v>2553</v>
      </c>
      <c r="B112" s="1" t="s">
        <v>2444</v>
      </c>
      <c r="C112" s="1"/>
    </row>
    <row r="113" customFormat="false" ht="12.8" hidden="false" customHeight="false" outlineLevel="0" collapsed="false">
      <c r="A113" s="1" t="s">
        <v>2554</v>
      </c>
      <c r="B113" s="1" t="s">
        <v>2440</v>
      </c>
      <c r="C113" s="1"/>
    </row>
    <row r="114" customFormat="false" ht="12.8" hidden="false" customHeight="false" outlineLevel="0" collapsed="false">
      <c r="A114" s="1" t="s">
        <v>2555</v>
      </c>
      <c r="B114" s="1" t="s">
        <v>2444</v>
      </c>
      <c r="C114" s="1"/>
    </row>
    <row r="115" customFormat="false" ht="12.8" hidden="false" customHeight="false" outlineLevel="0" collapsed="false">
      <c r="A115" s="1" t="s">
        <v>2556</v>
      </c>
      <c r="B115" s="1" t="s">
        <v>2442</v>
      </c>
      <c r="C115" s="1"/>
    </row>
    <row r="116" customFormat="false" ht="12.8" hidden="false" customHeight="false" outlineLevel="0" collapsed="false">
      <c r="A116" s="1" t="s">
        <v>2557</v>
      </c>
      <c r="B116" s="1" t="s">
        <v>2438</v>
      </c>
      <c r="C116" s="1"/>
    </row>
    <row r="117" customFormat="false" ht="12.8" hidden="false" customHeight="false" outlineLevel="0" collapsed="false">
      <c r="A117" s="1" t="s">
        <v>2558</v>
      </c>
      <c r="B117" s="1" t="s">
        <v>2440</v>
      </c>
      <c r="C117" s="1"/>
    </row>
    <row r="118" customFormat="false" ht="12.8" hidden="false" customHeight="false" outlineLevel="0" collapsed="false">
      <c r="A118" s="1" t="s">
        <v>2559</v>
      </c>
      <c r="B118" s="1" t="s">
        <v>2442</v>
      </c>
      <c r="C118" s="1"/>
    </row>
    <row r="119" customFormat="false" ht="12.8" hidden="false" customHeight="false" outlineLevel="0" collapsed="false">
      <c r="A119" s="1" t="s">
        <v>2560</v>
      </c>
      <c r="B119" s="1" t="s">
        <v>2451</v>
      </c>
      <c r="C119" s="1"/>
    </row>
    <row r="120" customFormat="false" ht="12.8" hidden="false" customHeight="false" outlineLevel="0" collapsed="false">
      <c r="A120" s="1" t="s">
        <v>2561</v>
      </c>
      <c r="B120" s="1" t="s">
        <v>2440</v>
      </c>
      <c r="C120" s="1"/>
    </row>
    <row r="121" customFormat="false" ht="12.8" hidden="false" customHeight="false" outlineLevel="0" collapsed="false">
      <c r="A121" s="1" t="s">
        <v>2562</v>
      </c>
      <c r="B121" s="1" t="s">
        <v>2446</v>
      </c>
      <c r="C121" s="1"/>
    </row>
    <row r="122" customFormat="false" ht="12.8" hidden="false" customHeight="false" outlineLevel="0" collapsed="false">
      <c r="A122" s="1" t="s">
        <v>2563</v>
      </c>
      <c r="B122" s="1" t="s">
        <v>2451</v>
      </c>
      <c r="C122" s="1"/>
    </row>
    <row r="123" customFormat="false" ht="12.8" hidden="false" customHeight="false" outlineLevel="0" collapsed="false">
      <c r="A123" s="1" t="s">
        <v>2564</v>
      </c>
      <c r="B123" s="1" t="s">
        <v>2438</v>
      </c>
      <c r="C123" s="1"/>
    </row>
    <row r="124" customFormat="false" ht="12.8" hidden="false" customHeight="false" outlineLevel="0" collapsed="false">
      <c r="A124" s="1" t="s">
        <v>2565</v>
      </c>
      <c r="B124" s="1" t="s">
        <v>2444</v>
      </c>
      <c r="C124" s="1"/>
    </row>
    <row r="125" customFormat="false" ht="12.8" hidden="false" customHeight="false" outlineLevel="0" collapsed="false">
      <c r="A125" s="1" t="s">
        <v>2566</v>
      </c>
      <c r="B125" s="1" t="s">
        <v>2440</v>
      </c>
      <c r="C125" s="1"/>
    </row>
    <row r="126" customFormat="false" ht="12.8" hidden="false" customHeight="false" outlineLevel="0" collapsed="false">
      <c r="A126" s="1" t="s">
        <v>2567</v>
      </c>
      <c r="B126" s="1" t="s">
        <v>2438</v>
      </c>
      <c r="C126" s="1"/>
    </row>
    <row r="127" customFormat="false" ht="12.8" hidden="false" customHeight="false" outlineLevel="0" collapsed="false">
      <c r="A127" s="1" t="s">
        <v>2568</v>
      </c>
      <c r="B127" s="1" t="s">
        <v>2444</v>
      </c>
      <c r="C127" s="1"/>
    </row>
    <row r="128" customFormat="false" ht="12.8" hidden="false" customHeight="false" outlineLevel="0" collapsed="false">
      <c r="A128" s="1" t="s">
        <v>2569</v>
      </c>
      <c r="B128" s="1" t="s">
        <v>2440</v>
      </c>
      <c r="C128" s="1"/>
    </row>
    <row r="129" customFormat="false" ht="12.8" hidden="false" customHeight="false" outlineLevel="0" collapsed="false">
      <c r="A129" s="1" t="s">
        <v>2570</v>
      </c>
      <c r="B129" s="1" t="s">
        <v>2446</v>
      </c>
      <c r="C129" s="1"/>
    </row>
    <row r="130" customFormat="false" ht="12.8" hidden="false" customHeight="false" outlineLevel="0" collapsed="false">
      <c r="A130" s="1" t="s">
        <v>2571</v>
      </c>
      <c r="B130" s="1" t="s">
        <v>2446</v>
      </c>
      <c r="C130" s="1"/>
    </row>
    <row r="131" customFormat="false" ht="12.8" hidden="false" customHeight="false" outlineLevel="0" collapsed="false">
      <c r="A131" s="1" t="s">
        <v>2572</v>
      </c>
      <c r="B131" s="1" t="s">
        <v>2440</v>
      </c>
      <c r="C131" s="1"/>
    </row>
    <row r="132" customFormat="false" ht="12.8" hidden="false" customHeight="false" outlineLevel="0" collapsed="false">
      <c r="A132" s="1" t="s">
        <v>2573</v>
      </c>
      <c r="B132" s="1" t="s">
        <v>2442</v>
      </c>
      <c r="C132" s="1"/>
    </row>
    <row r="133" customFormat="false" ht="12.8" hidden="false" customHeight="false" outlineLevel="0" collapsed="false">
      <c r="A133" s="1" t="s">
        <v>2574</v>
      </c>
      <c r="B133" s="1" t="s">
        <v>2451</v>
      </c>
      <c r="C133" s="1"/>
    </row>
    <row r="134" customFormat="false" ht="12.8" hidden="false" customHeight="false" outlineLevel="0" collapsed="false">
      <c r="A134" s="1" t="s">
        <v>2575</v>
      </c>
      <c r="B134" s="1" t="s">
        <v>2442</v>
      </c>
      <c r="C134" s="1"/>
    </row>
    <row r="135" customFormat="false" ht="12.8" hidden="false" customHeight="false" outlineLevel="0" collapsed="false">
      <c r="A135" s="1" t="s">
        <v>2576</v>
      </c>
      <c r="B135" s="1" t="s">
        <v>2446</v>
      </c>
      <c r="C135" s="1"/>
    </row>
    <row r="136" customFormat="false" ht="12.8" hidden="false" customHeight="false" outlineLevel="0" collapsed="false">
      <c r="A136" s="1" t="s">
        <v>2577</v>
      </c>
      <c r="B136" s="1" t="s">
        <v>2446</v>
      </c>
      <c r="C136" s="1"/>
    </row>
    <row r="137" customFormat="false" ht="12.8" hidden="false" customHeight="false" outlineLevel="0" collapsed="false">
      <c r="A137" s="1" t="s">
        <v>2578</v>
      </c>
      <c r="B137" s="1" t="s">
        <v>2440</v>
      </c>
      <c r="C137" s="1"/>
    </row>
    <row r="138" customFormat="false" ht="12.8" hidden="false" customHeight="false" outlineLevel="0" collapsed="false">
      <c r="A138" s="1" t="s">
        <v>2579</v>
      </c>
      <c r="B138" s="1" t="s">
        <v>2446</v>
      </c>
      <c r="C138" s="1"/>
    </row>
    <row r="139" customFormat="false" ht="12.8" hidden="false" customHeight="false" outlineLevel="0" collapsed="false">
      <c r="A139" s="1" t="s">
        <v>2580</v>
      </c>
      <c r="B139" s="1" t="s">
        <v>2438</v>
      </c>
      <c r="C139" s="1"/>
    </row>
    <row r="140" customFormat="false" ht="12.8" hidden="false" customHeight="false" outlineLevel="0" collapsed="false">
      <c r="A140" s="1" t="s">
        <v>2581</v>
      </c>
      <c r="B140" s="1" t="s">
        <v>2444</v>
      </c>
      <c r="C140" s="1"/>
    </row>
    <row r="141" customFormat="false" ht="12.8" hidden="false" customHeight="false" outlineLevel="0" collapsed="false">
      <c r="A141" s="1" t="s">
        <v>2582</v>
      </c>
      <c r="B141" s="1" t="s">
        <v>2451</v>
      </c>
      <c r="C141" s="1"/>
    </row>
    <row r="142" customFormat="false" ht="12.8" hidden="false" customHeight="false" outlineLevel="0" collapsed="false">
      <c r="A142" s="1" t="s">
        <v>2583</v>
      </c>
      <c r="B142" s="1" t="s">
        <v>2444</v>
      </c>
      <c r="C142" s="1"/>
    </row>
    <row r="143" customFormat="false" ht="12.8" hidden="false" customHeight="false" outlineLevel="0" collapsed="false">
      <c r="A143" s="1" t="s">
        <v>2584</v>
      </c>
      <c r="B143" s="1" t="s">
        <v>2438</v>
      </c>
      <c r="C143" s="1"/>
    </row>
    <row r="144" customFormat="false" ht="12.8" hidden="false" customHeight="false" outlineLevel="0" collapsed="false">
      <c r="A144" s="1" t="s">
        <v>2585</v>
      </c>
      <c r="B144" s="1" t="s">
        <v>2442</v>
      </c>
      <c r="C144" s="1"/>
    </row>
    <row r="145" customFormat="false" ht="12.8" hidden="false" customHeight="false" outlineLevel="0" collapsed="false">
      <c r="A145" s="1" t="s">
        <v>2586</v>
      </c>
      <c r="B145" s="1" t="s">
        <v>2444</v>
      </c>
      <c r="C145" s="1"/>
    </row>
    <row r="146" customFormat="false" ht="12.8" hidden="false" customHeight="false" outlineLevel="0" collapsed="false">
      <c r="A146" s="1" t="s">
        <v>2587</v>
      </c>
      <c r="B146" s="1" t="s">
        <v>2444</v>
      </c>
      <c r="C146" s="1"/>
    </row>
    <row r="147" customFormat="false" ht="12.8" hidden="false" customHeight="false" outlineLevel="0" collapsed="false">
      <c r="A147" s="1" t="s">
        <v>2588</v>
      </c>
      <c r="B147" s="1" t="s">
        <v>2446</v>
      </c>
      <c r="C147" s="1"/>
    </row>
    <row r="148" customFormat="false" ht="12.8" hidden="false" customHeight="false" outlineLevel="0" collapsed="false">
      <c r="A148" s="1" t="s">
        <v>2589</v>
      </c>
      <c r="B148" s="1" t="s">
        <v>2444</v>
      </c>
      <c r="C148" s="1"/>
    </row>
    <row r="149" customFormat="false" ht="12.8" hidden="false" customHeight="false" outlineLevel="0" collapsed="false">
      <c r="A149" s="1" t="s">
        <v>2590</v>
      </c>
      <c r="B149" s="1" t="s">
        <v>2446</v>
      </c>
      <c r="C149" s="1"/>
    </row>
    <row r="150" customFormat="false" ht="12.8" hidden="false" customHeight="false" outlineLevel="0" collapsed="false">
      <c r="A150" s="1" t="s">
        <v>2591</v>
      </c>
      <c r="B150" s="1" t="s">
        <v>2451</v>
      </c>
      <c r="C150" s="1"/>
    </row>
    <row r="151" customFormat="false" ht="12.8" hidden="false" customHeight="false" outlineLevel="0" collapsed="false">
      <c r="A151" s="1" t="s">
        <v>2592</v>
      </c>
      <c r="B151" s="1" t="s">
        <v>2446</v>
      </c>
      <c r="C151" s="1"/>
    </row>
    <row r="152" customFormat="false" ht="12.8" hidden="false" customHeight="false" outlineLevel="0" collapsed="false">
      <c r="A152" s="1" t="s">
        <v>2593</v>
      </c>
      <c r="B152" s="1" t="s">
        <v>2451</v>
      </c>
      <c r="C152" s="1"/>
    </row>
    <row r="153" customFormat="false" ht="12.8" hidden="false" customHeight="false" outlineLevel="0" collapsed="false">
      <c r="A153" s="1" t="s">
        <v>2594</v>
      </c>
      <c r="B153" s="1" t="s">
        <v>2442</v>
      </c>
      <c r="C153" s="1"/>
    </row>
    <row r="154" customFormat="false" ht="12.8" hidden="false" customHeight="false" outlineLevel="0" collapsed="false">
      <c r="A154" s="1" t="s">
        <v>2595</v>
      </c>
      <c r="B154" s="1" t="s">
        <v>2451</v>
      </c>
      <c r="C154" s="1"/>
    </row>
    <row r="155" customFormat="false" ht="12.8" hidden="false" customHeight="false" outlineLevel="0" collapsed="false">
      <c r="A155" s="1" t="s">
        <v>2596</v>
      </c>
      <c r="B155" s="1" t="s">
        <v>2446</v>
      </c>
      <c r="C155" s="1"/>
    </row>
    <row r="156" customFormat="false" ht="12.8" hidden="false" customHeight="false" outlineLevel="0" collapsed="false">
      <c r="A156" s="1" t="s">
        <v>2597</v>
      </c>
      <c r="B156" s="1" t="s">
        <v>2451</v>
      </c>
      <c r="C156" s="1"/>
    </row>
    <row r="157" customFormat="false" ht="12.8" hidden="false" customHeight="false" outlineLevel="0" collapsed="false">
      <c r="A157" s="1" t="s">
        <v>2598</v>
      </c>
      <c r="B157" s="1" t="s">
        <v>2444</v>
      </c>
      <c r="C157" s="1"/>
    </row>
    <row r="158" customFormat="false" ht="12.8" hidden="false" customHeight="false" outlineLevel="0" collapsed="false">
      <c r="A158" s="1" t="s">
        <v>2599</v>
      </c>
      <c r="B158" s="1" t="s">
        <v>2451</v>
      </c>
      <c r="C158" s="1"/>
    </row>
    <row r="159" customFormat="false" ht="12.8" hidden="false" customHeight="false" outlineLevel="0" collapsed="false">
      <c r="A159" s="1" t="s">
        <v>2600</v>
      </c>
      <c r="B159" s="1" t="s">
        <v>2446</v>
      </c>
      <c r="C159" s="1"/>
    </row>
    <row r="160" customFormat="false" ht="12.8" hidden="false" customHeight="false" outlineLevel="0" collapsed="false">
      <c r="A160" s="1" t="s">
        <v>2601</v>
      </c>
      <c r="B160" s="1" t="s">
        <v>2440</v>
      </c>
      <c r="C160" s="1"/>
    </row>
    <row r="161" customFormat="false" ht="12.8" hidden="false" customHeight="false" outlineLevel="0" collapsed="false">
      <c r="A161" s="1" t="s">
        <v>2602</v>
      </c>
      <c r="B161" s="1" t="s">
        <v>2442</v>
      </c>
      <c r="C161" s="1"/>
    </row>
    <row r="162" customFormat="false" ht="12.8" hidden="false" customHeight="false" outlineLevel="0" collapsed="false">
      <c r="A162" s="1" t="s">
        <v>2603</v>
      </c>
      <c r="B162" s="1" t="s">
        <v>2440</v>
      </c>
      <c r="C162" s="1"/>
    </row>
    <row r="163" customFormat="false" ht="12.8" hidden="false" customHeight="false" outlineLevel="0" collapsed="false">
      <c r="A163" s="1" t="s">
        <v>2604</v>
      </c>
      <c r="B163" s="1" t="s">
        <v>2438</v>
      </c>
      <c r="C163" s="1"/>
    </row>
    <row r="164" customFormat="false" ht="12.8" hidden="false" customHeight="false" outlineLevel="0" collapsed="false">
      <c r="A164" s="1" t="s">
        <v>2605</v>
      </c>
      <c r="B164" s="1" t="s">
        <v>2438</v>
      </c>
      <c r="C164" s="1"/>
    </row>
    <row r="165" customFormat="false" ht="12.8" hidden="false" customHeight="false" outlineLevel="0" collapsed="false">
      <c r="A165" s="1" t="s">
        <v>2606</v>
      </c>
      <c r="B165" s="1" t="s">
        <v>2451</v>
      </c>
      <c r="C165" s="1"/>
    </row>
    <row r="166" customFormat="false" ht="12.8" hidden="false" customHeight="false" outlineLevel="0" collapsed="false">
      <c r="A166" s="1" t="s">
        <v>2607</v>
      </c>
      <c r="B166" s="1" t="s">
        <v>2440</v>
      </c>
      <c r="C166" s="1"/>
    </row>
    <row r="167" customFormat="false" ht="12.8" hidden="false" customHeight="false" outlineLevel="0" collapsed="false">
      <c r="A167" s="1" t="s">
        <v>2608</v>
      </c>
      <c r="B167" s="1" t="s">
        <v>2444</v>
      </c>
      <c r="C167" s="1"/>
    </row>
    <row r="168" customFormat="false" ht="12.8" hidden="false" customHeight="false" outlineLevel="0" collapsed="false">
      <c r="A168" s="1" t="s">
        <v>2609</v>
      </c>
      <c r="B168" s="1" t="s">
        <v>2442</v>
      </c>
      <c r="C168" s="1"/>
    </row>
    <row r="169" customFormat="false" ht="12.8" hidden="false" customHeight="false" outlineLevel="0" collapsed="false">
      <c r="A169" s="1" t="s">
        <v>2610</v>
      </c>
      <c r="B169" s="1" t="s">
        <v>2446</v>
      </c>
      <c r="C169" s="1"/>
    </row>
    <row r="170" customFormat="false" ht="12.8" hidden="false" customHeight="false" outlineLevel="0" collapsed="false">
      <c r="A170" s="1" t="s">
        <v>2611</v>
      </c>
      <c r="B170" s="1" t="s">
        <v>2440</v>
      </c>
      <c r="C170" s="1"/>
    </row>
    <row r="171" customFormat="false" ht="12.8" hidden="false" customHeight="false" outlineLevel="0" collapsed="false">
      <c r="A171" s="1" t="s">
        <v>2612</v>
      </c>
      <c r="B171" s="1" t="s">
        <v>2442</v>
      </c>
      <c r="C171" s="1"/>
    </row>
    <row r="172" customFormat="false" ht="12.8" hidden="false" customHeight="false" outlineLevel="0" collapsed="false">
      <c r="A172" s="1" t="s">
        <v>2613</v>
      </c>
      <c r="B172" s="1" t="s">
        <v>2440</v>
      </c>
      <c r="C172" s="1"/>
    </row>
    <row r="173" customFormat="false" ht="12.8" hidden="false" customHeight="false" outlineLevel="0" collapsed="false">
      <c r="A173" s="1" t="s">
        <v>2614</v>
      </c>
      <c r="B173" s="1" t="s">
        <v>2444</v>
      </c>
      <c r="C173" s="1"/>
    </row>
    <row r="174" customFormat="false" ht="12.8" hidden="false" customHeight="false" outlineLevel="0" collapsed="false">
      <c r="A174" s="1" t="s">
        <v>2615</v>
      </c>
      <c r="B174" s="1" t="s">
        <v>2442</v>
      </c>
      <c r="C174" s="1"/>
    </row>
    <row r="175" customFormat="false" ht="12.8" hidden="false" customHeight="false" outlineLevel="0" collapsed="false">
      <c r="A175" s="1" t="s">
        <v>2616</v>
      </c>
      <c r="B175" s="1" t="s">
        <v>2438</v>
      </c>
      <c r="C175" s="1"/>
    </row>
    <row r="176" customFormat="false" ht="12.8" hidden="false" customHeight="false" outlineLevel="0" collapsed="false">
      <c r="A176" s="1" t="s">
        <v>2617</v>
      </c>
      <c r="B176" s="1" t="s">
        <v>2440</v>
      </c>
      <c r="C176" s="1"/>
    </row>
    <row r="177" customFormat="false" ht="12.8" hidden="false" customHeight="false" outlineLevel="0" collapsed="false">
      <c r="A177" s="1" t="s">
        <v>2618</v>
      </c>
      <c r="B177" s="1" t="s">
        <v>2446</v>
      </c>
      <c r="C177" s="1"/>
    </row>
    <row r="178" customFormat="false" ht="12.8" hidden="false" customHeight="false" outlineLevel="0" collapsed="false">
      <c r="A178" s="1" t="s">
        <v>2619</v>
      </c>
      <c r="B178" s="1" t="s">
        <v>2442</v>
      </c>
      <c r="C178" s="1"/>
    </row>
    <row r="179" customFormat="false" ht="12.8" hidden="false" customHeight="false" outlineLevel="0" collapsed="false">
      <c r="A179" s="1" t="s">
        <v>2620</v>
      </c>
      <c r="B179" s="1" t="s">
        <v>2440</v>
      </c>
      <c r="C179" s="1"/>
    </row>
    <row r="180" customFormat="false" ht="12.8" hidden="false" customHeight="false" outlineLevel="0" collapsed="false">
      <c r="A180" s="1" t="s">
        <v>2621</v>
      </c>
      <c r="B180" s="1" t="s">
        <v>2451</v>
      </c>
      <c r="C180" s="1"/>
    </row>
    <row r="181" customFormat="false" ht="12.8" hidden="false" customHeight="false" outlineLevel="0" collapsed="false">
      <c r="A181" s="1" t="s">
        <v>2622</v>
      </c>
      <c r="B181" s="1" t="s">
        <v>2442</v>
      </c>
      <c r="C181" s="1"/>
    </row>
    <row r="182" customFormat="false" ht="12.8" hidden="false" customHeight="false" outlineLevel="0" collapsed="false">
      <c r="A182" s="1" t="s">
        <v>2623</v>
      </c>
      <c r="B182" s="1" t="s">
        <v>2444</v>
      </c>
      <c r="C182" s="1"/>
    </row>
    <row r="183" customFormat="false" ht="12.8" hidden="false" customHeight="false" outlineLevel="0" collapsed="false">
      <c r="A183" s="1" t="s">
        <v>2624</v>
      </c>
      <c r="B183" s="1" t="s">
        <v>2446</v>
      </c>
      <c r="C183" s="1"/>
    </row>
    <row r="184" customFormat="false" ht="12.8" hidden="false" customHeight="false" outlineLevel="0" collapsed="false">
      <c r="A184" s="1" t="s">
        <v>2625</v>
      </c>
      <c r="B184" s="1" t="s">
        <v>2446</v>
      </c>
      <c r="C184" s="1"/>
    </row>
    <row r="185" customFormat="false" ht="12.8" hidden="false" customHeight="false" outlineLevel="0" collapsed="false">
      <c r="A185" s="1" t="s">
        <v>2626</v>
      </c>
      <c r="B185" s="1" t="s">
        <v>2446</v>
      </c>
      <c r="C185" s="1"/>
    </row>
    <row r="186" customFormat="false" ht="12.8" hidden="false" customHeight="false" outlineLevel="0" collapsed="false">
      <c r="A186" s="1" t="s">
        <v>2627</v>
      </c>
      <c r="B186" s="1" t="s">
        <v>2442</v>
      </c>
      <c r="C186" s="1"/>
    </row>
    <row r="187" customFormat="false" ht="12.8" hidden="false" customHeight="false" outlineLevel="0" collapsed="false">
      <c r="A187" s="1" t="s">
        <v>2628</v>
      </c>
      <c r="B187" s="1" t="s">
        <v>2451</v>
      </c>
      <c r="C187" s="1"/>
    </row>
    <row r="188" customFormat="false" ht="12.8" hidden="false" customHeight="false" outlineLevel="0" collapsed="false">
      <c r="A188" s="1" t="s">
        <v>2629</v>
      </c>
      <c r="B188" s="1" t="s">
        <v>2451</v>
      </c>
      <c r="C188" s="1"/>
    </row>
    <row r="189" customFormat="false" ht="12.8" hidden="false" customHeight="false" outlineLevel="0" collapsed="false">
      <c r="A189" s="1" t="s">
        <v>2630</v>
      </c>
      <c r="B189" s="1" t="s">
        <v>2444</v>
      </c>
      <c r="C189" s="1"/>
    </row>
    <row r="190" customFormat="false" ht="12.8" hidden="false" customHeight="false" outlineLevel="0" collapsed="false">
      <c r="A190" s="1" t="s">
        <v>2631</v>
      </c>
      <c r="B190" s="1" t="s">
        <v>2451</v>
      </c>
      <c r="C190" s="1"/>
    </row>
    <row r="191" customFormat="false" ht="12.8" hidden="false" customHeight="false" outlineLevel="0" collapsed="false">
      <c r="A191" s="1" t="s">
        <v>2632</v>
      </c>
      <c r="B191" s="1" t="s">
        <v>2438</v>
      </c>
      <c r="C191" s="1"/>
    </row>
    <row r="192" customFormat="false" ht="12.8" hidden="false" customHeight="false" outlineLevel="0" collapsed="false">
      <c r="A192" s="1" t="s">
        <v>2633</v>
      </c>
      <c r="B192" s="1" t="s">
        <v>2440</v>
      </c>
      <c r="C192" s="1"/>
    </row>
    <row r="193" customFormat="false" ht="12.8" hidden="false" customHeight="false" outlineLevel="0" collapsed="false">
      <c r="A193" s="1" t="s">
        <v>2634</v>
      </c>
      <c r="B193" s="1" t="s">
        <v>2442</v>
      </c>
      <c r="C193" s="1"/>
    </row>
    <row r="194" customFormat="false" ht="12.8" hidden="false" customHeight="false" outlineLevel="0" collapsed="false">
      <c r="A194" s="1" t="s">
        <v>2635</v>
      </c>
      <c r="B194" s="1" t="s">
        <v>2451</v>
      </c>
      <c r="C194" s="1"/>
    </row>
    <row r="195" customFormat="false" ht="12.8" hidden="false" customHeight="false" outlineLevel="0" collapsed="false">
      <c r="A195" s="1" t="s">
        <v>2636</v>
      </c>
      <c r="B195" s="1" t="s">
        <v>2442</v>
      </c>
      <c r="C195" s="1"/>
    </row>
    <row r="196" customFormat="false" ht="12.8" hidden="false" customHeight="false" outlineLevel="0" collapsed="false">
      <c r="A196" s="1" t="s">
        <v>2637</v>
      </c>
      <c r="B196" s="1" t="s">
        <v>2438</v>
      </c>
      <c r="C196" s="1"/>
    </row>
    <row r="197" customFormat="false" ht="12.8" hidden="false" customHeight="false" outlineLevel="0" collapsed="false">
      <c r="A197" s="1" t="s">
        <v>2638</v>
      </c>
      <c r="B197" s="1" t="s">
        <v>2444</v>
      </c>
      <c r="C197" s="1"/>
    </row>
    <row r="198" customFormat="false" ht="12.8" hidden="false" customHeight="false" outlineLevel="0" collapsed="false">
      <c r="A198" s="1" t="s">
        <v>2639</v>
      </c>
      <c r="B198" s="1" t="s">
        <v>2444</v>
      </c>
      <c r="C198" s="1"/>
    </row>
    <row r="199" customFormat="false" ht="12.8" hidden="false" customHeight="false" outlineLevel="0" collapsed="false">
      <c r="A199" s="1" t="s">
        <v>2640</v>
      </c>
      <c r="B199" s="1" t="s">
        <v>2442</v>
      </c>
      <c r="C199" s="1"/>
    </row>
    <row r="200" customFormat="false" ht="12.8" hidden="false" customHeight="false" outlineLevel="0" collapsed="false">
      <c r="A200" s="1" t="s">
        <v>2641</v>
      </c>
      <c r="B200" s="1" t="s">
        <v>2442</v>
      </c>
      <c r="C200" s="1"/>
    </row>
    <row r="201" customFormat="false" ht="12.8" hidden="false" customHeight="false" outlineLevel="0" collapsed="false">
      <c r="A201" s="1" t="s">
        <v>2642</v>
      </c>
      <c r="B201" s="1" t="s">
        <v>2442</v>
      </c>
      <c r="C201" s="1"/>
    </row>
  </sheetData>
  <autoFilter ref="A1:B201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C2:O37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N37" activeCellId="0" sqref="N37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1" style="0" width="5.22"/>
    <col collapsed="false" customWidth="true" hidden="false" outlineLevel="0" max="10" min="9" style="0" width="7.04"/>
    <col collapsed="false" customWidth="true" hidden="false" outlineLevel="0" max="11" min="11" style="1" width="19.41"/>
    <col collapsed="false" customWidth="true" hidden="false" outlineLevel="0" max="12" min="12" style="1" width="14.93"/>
    <col collapsed="false" customWidth="true" hidden="false" outlineLevel="0" max="13" min="13" style="1" width="10.32"/>
    <col collapsed="false" customWidth="true" hidden="false" outlineLevel="0" max="14" min="14" style="1" width="11.34"/>
    <col collapsed="false" customWidth="true" hidden="false" outlineLevel="0" max="15" min="15" style="0" width="7.04"/>
  </cols>
  <sheetData>
    <row r="2" customFormat="false" ht="12.8" hidden="false" customHeight="true" outlineLevel="0" collapsed="false">
      <c r="C2" s="39" t="s">
        <v>2643</v>
      </c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</row>
    <row r="3" customFormat="false" ht="12.8" hidden="false" customHeight="true" outlineLevel="0" collapsed="false"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</row>
    <row r="5" customFormat="false" ht="12.8" hidden="false" customHeight="true" outlineLevel="0" collapsed="false">
      <c r="K5" s="0"/>
      <c r="L5" s="0"/>
      <c r="M5" s="0"/>
      <c r="N5" s="0"/>
    </row>
    <row r="6" customFormat="false" ht="12.8" hidden="false" customHeight="true" outlineLevel="0" collapsed="false">
      <c r="K6" s="0"/>
      <c r="L6" s="0"/>
      <c r="M6" s="0"/>
      <c r="N6" s="0"/>
    </row>
    <row r="7" customFormat="false" ht="12.8" hidden="false" customHeight="false" outlineLevel="0" collapsed="false">
      <c r="K7" s="0"/>
      <c r="L7" s="0"/>
      <c r="M7" s="0"/>
      <c r="N7" s="0"/>
    </row>
    <row r="8" customFormat="false" ht="12.8" hidden="false" customHeight="true" outlineLevel="0" collapsed="false">
      <c r="K8" s="0"/>
      <c r="L8" s="0"/>
      <c r="M8" s="0"/>
      <c r="N8" s="0"/>
    </row>
    <row r="9" customFormat="false" ht="12.8" hidden="false" customHeight="true" outlineLevel="0" collapsed="false">
      <c r="K9" s="0"/>
      <c r="L9" s="0"/>
      <c r="M9" s="0"/>
      <c r="N9" s="0"/>
    </row>
    <row r="10" customFormat="false" ht="12.8" hidden="false" customHeight="true" outlineLevel="0" collapsed="false">
      <c r="K10" s="0"/>
      <c r="L10" s="0"/>
      <c r="M10" s="0"/>
      <c r="N10" s="0"/>
    </row>
    <row r="11" customFormat="false" ht="12.8" hidden="false" customHeight="true" outlineLevel="0" collapsed="false">
      <c r="K11" s="0"/>
      <c r="L11" s="0"/>
      <c r="M11" s="0"/>
      <c r="N11" s="0"/>
    </row>
    <row r="12" customFormat="false" ht="12.8" hidden="false" customHeight="true" outlineLevel="0" collapsed="false">
      <c r="K12" s="0"/>
      <c r="L12" s="0"/>
      <c r="M12" s="0"/>
      <c r="N12" s="0"/>
    </row>
    <row r="13" customFormat="false" ht="12.8" hidden="false" customHeight="true" outlineLevel="0" collapsed="false">
      <c r="K13" s="0"/>
      <c r="L13" s="0"/>
      <c r="M13" s="0"/>
      <c r="N13" s="0"/>
    </row>
    <row r="14" customFormat="false" ht="12.8" hidden="false" customHeight="true" outlineLevel="0" collapsed="false">
      <c r="K14" s="0"/>
      <c r="L14" s="0"/>
      <c r="M14" s="0"/>
      <c r="N14" s="0"/>
    </row>
    <row r="22" customFormat="false" ht="12.8" hidden="false" customHeight="true" outlineLevel="0" collapsed="false">
      <c r="K22" s="0"/>
      <c r="L22" s="0"/>
      <c r="M22" s="0"/>
      <c r="N22" s="0"/>
    </row>
    <row r="23" customFormat="false" ht="12.8" hidden="false" customHeight="true" outlineLevel="0" collapsed="false">
      <c r="K23" s="7" t="s">
        <v>1513</v>
      </c>
      <c r="L23" s="8" t="s">
        <v>5</v>
      </c>
      <c r="M23" s="9"/>
      <c r="N23" s="10"/>
    </row>
    <row r="24" customFormat="false" ht="12.8" hidden="false" customHeight="true" outlineLevel="0" collapsed="false">
      <c r="K24" s="40" t="s">
        <v>6</v>
      </c>
      <c r="L24" s="41" t="s">
        <v>25</v>
      </c>
      <c r="M24" s="42" t="s">
        <v>13</v>
      </c>
      <c r="N24" s="14" t="s">
        <v>1514</v>
      </c>
    </row>
    <row r="25" customFormat="false" ht="12.8" hidden="false" customHeight="true" outlineLevel="0" collapsed="false">
      <c r="K25" s="15" t="s">
        <v>1515</v>
      </c>
      <c r="L25" s="16" t="n">
        <v>159</v>
      </c>
      <c r="M25" s="17" t="n">
        <v>180</v>
      </c>
      <c r="N25" s="18" t="n">
        <v>339</v>
      </c>
    </row>
    <row r="26" customFormat="false" ht="12.8" hidden="false" customHeight="true" outlineLevel="0" collapsed="false">
      <c r="K26" s="19" t="s">
        <v>1516</v>
      </c>
      <c r="L26" s="20" t="n">
        <v>79</v>
      </c>
      <c r="M26" s="21" t="n">
        <v>82</v>
      </c>
      <c r="N26" s="22" t="n">
        <v>161</v>
      </c>
    </row>
    <row r="27" customFormat="false" ht="12.8" hidden="false" customHeight="true" outlineLevel="0" collapsed="false">
      <c r="K27" s="23" t="s">
        <v>1514</v>
      </c>
      <c r="L27" s="24" t="n">
        <v>238</v>
      </c>
      <c r="M27" s="25" t="n">
        <v>262</v>
      </c>
      <c r="N27" s="26" t="n">
        <v>500</v>
      </c>
    </row>
    <row r="28" customFormat="false" ht="12.8" hidden="false" customHeight="true" outlineLevel="0" collapsed="false">
      <c r="K28" s="0"/>
      <c r="L28" s="0"/>
      <c r="M28" s="0"/>
      <c r="N28" s="0"/>
    </row>
    <row r="30" customFormat="false" ht="12.8" hidden="false" customHeight="true" outlineLevel="0" collapsed="false">
      <c r="K30" s="27" t="s">
        <v>1521</v>
      </c>
      <c r="L30" s="28" t="s">
        <v>1531</v>
      </c>
      <c r="M30" s="29" t="s">
        <v>1532</v>
      </c>
      <c r="N30" s="30" t="s">
        <v>1533</v>
      </c>
    </row>
    <row r="31" customFormat="false" ht="12.8" hidden="false" customHeight="true" outlineLevel="0" collapsed="false">
      <c r="K31" s="31" t="s">
        <v>1530</v>
      </c>
      <c r="L31" s="31" t="n">
        <f aca="false">vulnerability_scan!I4</f>
        <v>16</v>
      </c>
      <c r="M31" s="31" t="n">
        <f aca="false">vulnerability_scan!J4</f>
        <v>56</v>
      </c>
      <c r="N31" s="32" t="n">
        <f aca="false">vulnerability_scan!K4</f>
        <v>0.285714285714286</v>
      </c>
    </row>
    <row r="32" customFormat="false" ht="12.8" hidden="false" customHeight="true" outlineLevel="0" collapsed="false">
      <c r="K32" s="31" t="s">
        <v>1526</v>
      </c>
      <c r="L32" s="31" t="n">
        <f aca="false">vulnerability_scan!I5</f>
        <v>15</v>
      </c>
      <c r="M32" s="31" t="n">
        <f aca="false">vulnerability_scan!J5</f>
        <v>55</v>
      </c>
      <c r="N32" s="32" t="n">
        <f aca="false">vulnerability_scan!K5</f>
        <v>0.272727272727273</v>
      </c>
    </row>
    <row r="33" customFormat="false" ht="12.8" hidden="false" customHeight="true" outlineLevel="0" collapsed="false">
      <c r="K33" s="31" t="s">
        <v>1538</v>
      </c>
      <c r="L33" s="31" t="n">
        <f aca="false">vulnerability_scan!I6</f>
        <v>15</v>
      </c>
      <c r="M33" s="31" t="n">
        <f aca="false">vulnerability_scan!J6</f>
        <v>65</v>
      </c>
      <c r="N33" s="32" t="n">
        <f aca="false">vulnerability_scan!K6</f>
        <v>0.230769230769231</v>
      </c>
    </row>
    <row r="34" customFormat="false" ht="12.8" hidden="false" customHeight="true" outlineLevel="0" collapsed="false">
      <c r="K34" s="31" t="s">
        <v>1549</v>
      </c>
      <c r="L34" s="31" t="n">
        <f aca="false">vulnerability_scan!I7</f>
        <v>13</v>
      </c>
      <c r="M34" s="31" t="n">
        <f aca="false">vulnerability_scan!J7</f>
        <v>58</v>
      </c>
      <c r="N34" s="32" t="n">
        <f aca="false">vulnerability_scan!K7</f>
        <v>0.224137931034483</v>
      </c>
    </row>
    <row r="35" customFormat="false" ht="12.8" hidden="false" customHeight="true" outlineLevel="0" collapsed="false">
      <c r="K35" s="31" t="s">
        <v>1548</v>
      </c>
      <c r="L35" s="31" t="n">
        <f aca="false">vulnerability_scan!I8</f>
        <v>16</v>
      </c>
      <c r="M35" s="31" t="n">
        <f aca="false">vulnerability_scan!J8</f>
        <v>66</v>
      </c>
      <c r="N35" s="32" t="n">
        <f aca="false">vulnerability_scan!K8</f>
        <v>0.242424242424242</v>
      </c>
    </row>
    <row r="36" customFormat="false" ht="12.8" hidden="false" customHeight="true" outlineLevel="0" collapsed="false">
      <c r="K36" s="33"/>
      <c r="L36" s="33"/>
      <c r="M36" s="33"/>
      <c r="N36" s="33"/>
    </row>
    <row r="37" customFormat="false" ht="12.8" hidden="false" customHeight="true" outlineLevel="0" collapsed="false">
      <c r="K37" s="27" t="s">
        <v>1559</v>
      </c>
      <c r="L37" s="28" t="n">
        <f aca="false">SUM(L31:L35)</f>
        <v>75</v>
      </c>
      <c r="M37" s="29" t="n">
        <f aca="false">SUM(M31:M35)</f>
        <v>300</v>
      </c>
      <c r="N37" s="30" t="n">
        <f aca="false">L37/M37</f>
        <v>0.25</v>
      </c>
    </row>
  </sheetData>
  <mergeCells count="1">
    <mergeCell ref="C2:O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B53" activeCellId="0" sqref="B53"/>
    </sheetView>
  </sheetViews>
  <sheetFormatPr defaultColWidth="11.53515625" defaultRowHeight="12.8" customHeight="true" zeroHeight="false" outlineLevelRow="0" outlineLevelCol="0"/>
  <sheetData/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126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2026-01-17T10:20:29Z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